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uo\Desktop\project\"/>
    </mc:Choice>
  </mc:AlternateContent>
  <bookViews>
    <workbookView xWindow="0" yWindow="0" windowWidth="24000" windowHeight="8910" activeTab="2"/>
  </bookViews>
  <sheets>
    <sheet name="c" sheetId="1" r:id="rId1"/>
    <sheet name="MI" sheetId="2" r:id="rId2"/>
    <sheet name="A1" sheetId="4" r:id="rId3"/>
    <sheet name="A2" sheetId="5" r:id="rId4"/>
    <sheet name="B1" sheetId="6" r:id="rId5"/>
    <sheet name="B2" sheetId="3" r:id="rId6"/>
    <sheet name="result" sheetId="8" r:id="rId7"/>
    <sheet name="volatility" sheetId="7" r:id="rId8"/>
  </sheets>
  <definedNames>
    <definedName name="solver_adj" localSheetId="2" hidden="1">'A1'!$T$29:$T$53</definedName>
    <definedName name="solver_adj" localSheetId="3" hidden="1">'A2'!$T$29:$T$53</definedName>
    <definedName name="solver_adj" localSheetId="4" hidden="1">'B1'!$T$29:$T$53</definedName>
    <definedName name="solver_adj" localSheetId="5" hidden="1">'B2'!$T$29:$T$53</definedName>
    <definedName name="solver_adj" localSheetId="0" hidden="1">'c'!$C$29:$C$53</definedName>
    <definedName name="solver_cvg" localSheetId="2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0" hidden="1">0.0001</definedName>
    <definedName name="solver_drv" localSheetId="2" hidden="1">2</definedName>
    <definedName name="solver_drv" localSheetId="3" hidden="1">2</definedName>
    <definedName name="solver_drv" localSheetId="4" hidden="1">1</definedName>
    <definedName name="solver_drv" localSheetId="5" hidden="1">2</definedName>
    <definedName name="solver_drv" localSheetId="0" hidden="1">1</definedName>
    <definedName name="solver_eng" localSheetId="2" hidden="1">1</definedName>
    <definedName name="solver_eng" localSheetId="3" hidden="1">1</definedName>
    <definedName name="solver_eng" localSheetId="4" hidden="1">1</definedName>
    <definedName name="solver_eng" localSheetId="5" hidden="1">1</definedName>
    <definedName name="solver_eng" localSheetId="0" hidden="1">1</definedName>
    <definedName name="solver_est" localSheetId="2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0" hidden="1">1</definedName>
    <definedName name="solver_itr" localSheetId="2" hidden="1">2147483647</definedName>
    <definedName name="solver_itr" localSheetId="3" hidden="1">2147483647</definedName>
    <definedName name="solver_itr" localSheetId="4" hidden="1">2147483647</definedName>
    <definedName name="solver_itr" localSheetId="5" hidden="1">2147483647</definedName>
    <definedName name="solver_itr" localSheetId="0" hidden="1">2147483647</definedName>
    <definedName name="solver_lhs1" localSheetId="2" hidden="1">'A1'!$T$29:$T$53</definedName>
    <definedName name="solver_lhs1" localSheetId="3" hidden="1">'A2'!$T$29:$T$53</definedName>
    <definedName name="solver_lhs1" localSheetId="4" hidden="1">'B1'!$T$29:$T$53</definedName>
    <definedName name="solver_lhs1" localSheetId="5" hidden="1">'B2'!$T$29:$T$53</definedName>
    <definedName name="solver_lhs1" localSheetId="0" hidden="1">'c'!$C$29:$C$53</definedName>
    <definedName name="solver_lhs2" localSheetId="2" hidden="1">'A1'!$T$29:$T$53</definedName>
    <definedName name="solver_lhs2" localSheetId="3" hidden="1">'A2'!$T$29:$T$53</definedName>
    <definedName name="solver_lhs2" localSheetId="4" hidden="1">'B1'!$T$29:$T$53</definedName>
    <definedName name="solver_lhs2" localSheetId="5" hidden="1">'B2'!$T$29:$T$53</definedName>
    <definedName name="solver_lhs2" localSheetId="0" hidden="1">'c'!$C$29:$C$53</definedName>
    <definedName name="solver_lhs3" localSheetId="2" hidden="1">'A1'!$T$54</definedName>
    <definedName name="solver_lhs3" localSheetId="3" hidden="1">'A2'!$T$54</definedName>
    <definedName name="solver_lhs3" localSheetId="4" hidden="1">'B1'!$T$54</definedName>
    <definedName name="solver_lhs3" localSheetId="5" hidden="1">'B2'!$T$54</definedName>
    <definedName name="solver_lhs3" localSheetId="0" hidden="1">'c'!$C$54</definedName>
    <definedName name="solver_lhs4" localSheetId="2" hidden="1">'A1'!$Z$31</definedName>
    <definedName name="solver_lhs4" localSheetId="3" hidden="1">'A2'!$Z$31</definedName>
    <definedName name="solver_lhs4" localSheetId="4" hidden="1">'B1'!$Z$30</definedName>
    <definedName name="solver_lhs4" localSheetId="5" hidden="1">'B2'!$Z$30</definedName>
    <definedName name="solver_lhs4" localSheetId="0" hidden="1">'c'!$I$31</definedName>
    <definedName name="solver_mip" localSheetId="2" hidden="1">2147483647</definedName>
    <definedName name="solver_mip" localSheetId="3" hidden="1">2147483647</definedName>
    <definedName name="solver_mip" localSheetId="4" hidden="1">2147483647</definedName>
    <definedName name="solver_mip" localSheetId="5" hidden="1">2147483647</definedName>
    <definedName name="solver_mip" localSheetId="0" hidden="1">2147483647</definedName>
    <definedName name="solver_mni" localSheetId="2" hidden="1">30</definedName>
    <definedName name="solver_mni" localSheetId="3" hidden="1">30</definedName>
    <definedName name="solver_mni" localSheetId="4" hidden="1">30</definedName>
    <definedName name="solver_mni" localSheetId="5" hidden="1">30</definedName>
    <definedName name="solver_mni" localSheetId="0" hidden="1">30</definedName>
    <definedName name="solver_mrt" localSheetId="2" hidden="1">0.075</definedName>
    <definedName name="solver_mrt" localSheetId="3" hidden="1">0.075</definedName>
    <definedName name="solver_mrt" localSheetId="4" hidden="1">0.075</definedName>
    <definedName name="solver_mrt" localSheetId="5" hidden="1">0.075</definedName>
    <definedName name="solver_mrt" localSheetId="0" hidden="1">0.075</definedName>
    <definedName name="solver_msl" localSheetId="2" hidden="1">2</definedName>
    <definedName name="solver_msl" localSheetId="3" hidden="1">2</definedName>
    <definedName name="solver_msl" localSheetId="4" hidden="1">2</definedName>
    <definedName name="solver_msl" localSheetId="5" hidden="1">2</definedName>
    <definedName name="solver_msl" localSheetId="0" hidden="1">2</definedName>
    <definedName name="solver_neg" localSheetId="2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0" hidden="1">1</definedName>
    <definedName name="solver_nod" localSheetId="2" hidden="1">2147483647</definedName>
    <definedName name="solver_nod" localSheetId="3" hidden="1">2147483647</definedName>
    <definedName name="solver_nod" localSheetId="4" hidden="1">2147483647</definedName>
    <definedName name="solver_nod" localSheetId="5" hidden="1">2147483647</definedName>
    <definedName name="solver_nod" localSheetId="0" hidden="1">2147483647</definedName>
    <definedName name="solver_num" localSheetId="2" hidden="1">4</definedName>
    <definedName name="solver_num" localSheetId="3" hidden="1">4</definedName>
    <definedName name="solver_num" localSheetId="4" hidden="1">4</definedName>
    <definedName name="solver_num" localSheetId="5" hidden="1">4</definedName>
    <definedName name="solver_num" localSheetId="0" hidden="1">4</definedName>
    <definedName name="solver_nwt" localSheetId="2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0" hidden="1">1</definedName>
    <definedName name="solver_opt" localSheetId="2" hidden="1">'A1'!$Z$30</definedName>
    <definedName name="solver_opt" localSheetId="3" hidden="1">'A2'!$Z$30</definedName>
    <definedName name="solver_opt" localSheetId="4" hidden="1">'B1'!$Z$32</definedName>
    <definedName name="solver_opt" localSheetId="5" hidden="1">'B2'!$P$28</definedName>
    <definedName name="solver_opt" localSheetId="0" hidden="1">'c'!$I$30</definedName>
    <definedName name="solver_pre" localSheetId="2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0" hidden="1">0.000001</definedName>
    <definedName name="solver_rbv" localSheetId="2" hidden="1">2</definedName>
    <definedName name="solver_rbv" localSheetId="3" hidden="1">2</definedName>
    <definedName name="solver_rbv" localSheetId="4" hidden="1">1</definedName>
    <definedName name="solver_rbv" localSheetId="5" hidden="1">2</definedName>
    <definedName name="solver_rbv" localSheetId="0" hidden="1">1</definedName>
    <definedName name="solver_rel1" localSheetId="2" hidden="1">1</definedName>
    <definedName name="solver_rel1" localSheetId="3" hidden="1">1</definedName>
    <definedName name="solver_rel1" localSheetId="4" hidden="1">1</definedName>
    <definedName name="solver_rel1" localSheetId="5" hidden="1">1</definedName>
    <definedName name="solver_rel1" localSheetId="0" hidden="1">1</definedName>
    <definedName name="solver_rel2" localSheetId="2" hidden="1">3</definedName>
    <definedName name="solver_rel2" localSheetId="3" hidden="1">3</definedName>
    <definedName name="solver_rel2" localSheetId="4" hidden="1">3</definedName>
    <definedName name="solver_rel2" localSheetId="5" hidden="1">3</definedName>
    <definedName name="solver_rel2" localSheetId="0" hidden="1">3</definedName>
    <definedName name="solver_rel3" localSheetId="2" hidden="1">2</definedName>
    <definedName name="solver_rel3" localSheetId="3" hidden="1">2</definedName>
    <definedName name="solver_rel3" localSheetId="4" hidden="1">2</definedName>
    <definedName name="solver_rel3" localSheetId="5" hidden="1">2</definedName>
    <definedName name="solver_rel3" localSheetId="0" hidden="1">2</definedName>
    <definedName name="solver_rel4" localSheetId="2" hidden="1">2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0" hidden="1">2</definedName>
    <definedName name="solver_rhs1" localSheetId="2" hidden="1">'A1'!$V$29:$V$53</definedName>
    <definedName name="solver_rhs1" localSheetId="3" hidden="1">'A2'!$V$29:$V$53</definedName>
    <definedName name="solver_rhs1" localSheetId="4" hidden="1">'B1'!$V$29:$V$53</definedName>
    <definedName name="solver_rhs1" localSheetId="5" hidden="1">'B2'!$V$29:$V$53</definedName>
    <definedName name="solver_rhs1" localSheetId="0" hidden="1">'c'!$E$29:$E$53</definedName>
    <definedName name="solver_rhs2" localSheetId="2" hidden="1">'A1'!$U$29:$U$53</definedName>
    <definedName name="solver_rhs2" localSheetId="3" hidden="1">'A2'!$U$29:$U$53</definedName>
    <definedName name="solver_rhs2" localSheetId="4" hidden="1">'B1'!$U$29:$U$53</definedName>
    <definedName name="solver_rhs2" localSheetId="5" hidden="1">'B2'!$U$29:$U$53</definedName>
    <definedName name="solver_rhs2" localSheetId="0" hidden="1">'c'!$D$29:$D$53</definedName>
    <definedName name="solver_rhs3" localSheetId="2" hidden="1">'A1'!$U$54</definedName>
    <definedName name="solver_rhs3" localSheetId="3" hidden="1">'A2'!$U$54</definedName>
    <definedName name="solver_rhs3" localSheetId="4" hidden="1">'B1'!$U$54</definedName>
    <definedName name="solver_rhs3" localSheetId="5" hidden="1">'B2'!$U$54</definedName>
    <definedName name="solver_rhs3" localSheetId="0" hidden="1">'c'!$D$54</definedName>
    <definedName name="solver_rhs4" localSheetId="2" hidden="1">10%</definedName>
    <definedName name="solver_rhs4" localSheetId="3" hidden="1">10%</definedName>
    <definedName name="solver_rhs4" localSheetId="4" hidden="1">'B1'!$Z$34</definedName>
    <definedName name="solver_rhs4" localSheetId="5" hidden="1">'B2'!$Z$34</definedName>
    <definedName name="solver_rhs4" localSheetId="0" hidden="1">'c'!$I$43</definedName>
    <definedName name="solver_rlx" localSheetId="2" hidden="1">2</definedName>
    <definedName name="solver_rlx" localSheetId="3" hidden="1">2</definedName>
    <definedName name="solver_rlx" localSheetId="4" hidden="1">2</definedName>
    <definedName name="solver_rlx" localSheetId="5" hidden="1">2</definedName>
    <definedName name="solver_rlx" localSheetId="0" hidden="1">2</definedName>
    <definedName name="solver_rsd" localSheetId="2" hidden="1">0</definedName>
    <definedName name="solver_rsd" localSheetId="3" hidden="1">0</definedName>
    <definedName name="solver_rsd" localSheetId="4" hidden="1">0</definedName>
    <definedName name="solver_rsd" localSheetId="5" hidden="1">0</definedName>
    <definedName name="solver_rsd" localSheetId="0" hidden="1">0</definedName>
    <definedName name="solver_scl" localSheetId="2" hidden="1">2</definedName>
    <definedName name="solver_scl" localSheetId="3" hidden="1">2</definedName>
    <definedName name="solver_scl" localSheetId="4" hidden="1">1</definedName>
    <definedName name="solver_scl" localSheetId="5" hidden="1">2</definedName>
    <definedName name="solver_scl" localSheetId="0" hidden="1">1</definedName>
    <definedName name="solver_sho" localSheetId="2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0" hidden="1">2</definedName>
    <definedName name="solver_ssz" localSheetId="2" hidden="1">100</definedName>
    <definedName name="solver_ssz" localSheetId="3" hidden="1">100</definedName>
    <definedName name="solver_ssz" localSheetId="4" hidden="1">100</definedName>
    <definedName name="solver_ssz" localSheetId="5" hidden="1">100</definedName>
    <definedName name="solver_ssz" localSheetId="0" hidden="1">100</definedName>
    <definedName name="solver_tim" localSheetId="2" hidden="1">2147483647</definedName>
    <definedName name="solver_tim" localSheetId="3" hidden="1">2147483647</definedName>
    <definedName name="solver_tim" localSheetId="4" hidden="1">2147483647</definedName>
    <definedName name="solver_tim" localSheetId="5" hidden="1">2147483647</definedName>
    <definedName name="solver_tim" localSheetId="0" hidden="1">2147483647</definedName>
    <definedName name="solver_tol" localSheetId="2" hidden="1">0.01</definedName>
    <definedName name="solver_tol" localSheetId="3" hidden="1">0.01</definedName>
    <definedName name="solver_tol" localSheetId="4" hidden="1">0.01</definedName>
    <definedName name="solver_tol" localSheetId="5" hidden="1">0.01</definedName>
    <definedName name="solver_tol" localSheetId="0" hidden="1">0.01</definedName>
    <definedName name="solver_typ" localSheetId="2" hidden="1">2</definedName>
    <definedName name="solver_typ" localSheetId="3" hidden="1">2</definedName>
    <definedName name="solver_typ" localSheetId="4" hidden="1">1</definedName>
    <definedName name="solver_typ" localSheetId="5" hidden="1">1</definedName>
    <definedName name="solver_typ" localSheetId="0" hidden="1">2</definedName>
    <definedName name="solver_val" localSheetId="2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0" hidden="1">0</definedName>
    <definedName name="solver_ver" localSheetId="2" hidden="1">3</definedName>
    <definedName name="solver_ver" localSheetId="3" hidden="1">3</definedName>
    <definedName name="solver_ver" localSheetId="4" hidden="1">3</definedName>
    <definedName name="solver_ver" localSheetId="5" hidden="1">3</definedName>
    <definedName name="solver_ver" localSheetId="0" hidden="1">3</definedName>
  </definedNames>
  <calcPr calcId="171027"/>
</workbook>
</file>

<file path=xl/calcChain.xml><?xml version="1.0" encoding="utf-8"?>
<calcChain xmlns="http://schemas.openxmlformats.org/spreadsheetml/2006/main">
  <c r="F4" i="8" l="1"/>
  <c r="F9" i="8" l="1"/>
  <c r="E9" i="8"/>
  <c r="D9" i="8"/>
  <c r="C9" i="8"/>
  <c r="B9" i="8"/>
  <c r="D4" i="8"/>
  <c r="E4" i="8"/>
  <c r="C4" i="8"/>
  <c r="B4" i="8"/>
  <c r="H21" i="5"/>
  <c r="I21" i="5" s="1"/>
  <c r="T54" i="6" l="1"/>
  <c r="H27" i="6" s="1"/>
  <c r="I27" i="6" s="1"/>
  <c r="Z31" i="6"/>
  <c r="BD29" i="6"/>
  <c r="BC29" i="6"/>
  <c r="BB29" i="6"/>
  <c r="BA29" i="6"/>
  <c r="AZ29" i="6"/>
  <c r="AY29" i="6"/>
  <c r="AX29" i="6"/>
  <c r="AW29" i="6"/>
  <c r="AV29" i="6"/>
  <c r="AU29" i="6"/>
  <c r="AT29" i="6"/>
  <c r="AS29" i="6"/>
  <c r="AR29" i="6"/>
  <c r="AQ29" i="6"/>
  <c r="AP29" i="6"/>
  <c r="AO29" i="6"/>
  <c r="AN29" i="6"/>
  <c r="AM29" i="6"/>
  <c r="AL29" i="6"/>
  <c r="AK29" i="6"/>
  <c r="AJ29" i="6"/>
  <c r="AI29" i="6"/>
  <c r="AH29" i="6"/>
  <c r="AG29" i="6"/>
  <c r="AF29" i="6"/>
  <c r="G27" i="6"/>
  <c r="F27" i="6"/>
  <c r="E27" i="6"/>
  <c r="D27" i="6"/>
  <c r="C27" i="6"/>
  <c r="H26" i="6"/>
  <c r="H25" i="6"/>
  <c r="I25" i="6" s="1"/>
  <c r="H24" i="6"/>
  <c r="I24" i="6" s="1"/>
  <c r="H23" i="6"/>
  <c r="I23" i="6" s="1"/>
  <c r="H22" i="6"/>
  <c r="I22" i="6" s="1"/>
  <c r="H21" i="6"/>
  <c r="I21" i="6" s="1"/>
  <c r="H20" i="6"/>
  <c r="H19" i="6"/>
  <c r="I19" i="6" s="1"/>
  <c r="H18" i="6"/>
  <c r="H17" i="6"/>
  <c r="I17" i="6" s="1"/>
  <c r="H16" i="6"/>
  <c r="I16" i="6" s="1"/>
  <c r="H15" i="6"/>
  <c r="I15" i="6" s="1"/>
  <c r="H14" i="6"/>
  <c r="I14" i="6" s="1"/>
  <c r="H13" i="6"/>
  <c r="I13" i="6" s="1"/>
  <c r="H12" i="6"/>
  <c r="H11" i="6"/>
  <c r="I11" i="6" s="1"/>
  <c r="H10" i="6"/>
  <c r="H9" i="6"/>
  <c r="H8" i="6"/>
  <c r="I8" i="6" s="1"/>
  <c r="H7" i="6"/>
  <c r="I7" i="6" s="1"/>
  <c r="H6" i="6"/>
  <c r="H5" i="6"/>
  <c r="I5" i="6" s="1"/>
  <c r="H4" i="6"/>
  <c r="H3" i="6"/>
  <c r="I3" i="6" s="1"/>
  <c r="H2" i="6"/>
  <c r="H3" i="5"/>
  <c r="I3" i="5" s="1"/>
  <c r="H4" i="5"/>
  <c r="I4" i="5" s="1"/>
  <c r="H5" i="5"/>
  <c r="I5" i="5" s="1"/>
  <c r="H6" i="5"/>
  <c r="I6" i="5" s="1"/>
  <c r="H7" i="5"/>
  <c r="I7" i="5" s="1"/>
  <c r="H8" i="5"/>
  <c r="I8" i="5" s="1"/>
  <c r="H9" i="5"/>
  <c r="I9" i="5" s="1"/>
  <c r="H10" i="5"/>
  <c r="I10" i="5" s="1"/>
  <c r="H11" i="5"/>
  <c r="I11" i="5" s="1"/>
  <c r="H12" i="5"/>
  <c r="I12" i="5" s="1"/>
  <c r="H13" i="5"/>
  <c r="I13" i="5" s="1"/>
  <c r="H14" i="5"/>
  <c r="I14" i="5" s="1"/>
  <c r="H15" i="5"/>
  <c r="I15" i="5" s="1"/>
  <c r="H16" i="5"/>
  <c r="I16" i="5" s="1"/>
  <c r="H17" i="5"/>
  <c r="I17" i="5" s="1"/>
  <c r="H18" i="5"/>
  <c r="I18" i="5" s="1"/>
  <c r="H19" i="5"/>
  <c r="I19" i="5" s="1"/>
  <c r="H20" i="5"/>
  <c r="I20" i="5" s="1"/>
  <c r="H22" i="5"/>
  <c r="I22" i="5" s="1"/>
  <c r="H23" i="5"/>
  <c r="I23" i="5" s="1"/>
  <c r="H24" i="5"/>
  <c r="I24" i="5" s="1"/>
  <c r="H25" i="5"/>
  <c r="I25" i="5" s="1"/>
  <c r="H26" i="5"/>
  <c r="I26" i="5" s="1"/>
  <c r="H2" i="5"/>
  <c r="I2" i="5" s="1"/>
  <c r="H3" i="3"/>
  <c r="I3" i="3" s="1"/>
  <c r="H4" i="3"/>
  <c r="I4" i="3" s="1"/>
  <c r="H5" i="3"/>
  <c r="I5" i="3" s="1"/>
  <c r="H6" i="3"/>
  <c r="I6" i="3" s="1"/>
  <c r="H7" i="3"/>
  <c r="I7" i="3" s="1"/>
  <c r="H8" i="3"/>
  <c r="I8" i="3" s="1"/>
  <c r="H9" i="3"/>
  <c r="I9" i="3" s="1"/>
  <c r="H10" i="3"/>
  <c r="I10" i="3" s="1"/>
  <c r="H11" i="3"/>
  <c r="I11" i="3" s="1"/>
  <c r="H12" i="3"/>
  <c r="I12" i="3" s="1"/>
  <c r="H13" i="3"/>
  <c r="I13" i="3" s="1"/>
  <c r="H14" i="3"/>
  <c r="I14" i="3" s="1"/>
  <c r="H15" i="3"/>
  <c r="I15" i="3" s="1"/>
  <c r="H16" i="3"/>
  <c r="I16" i="3" s="1"/>
  <c r="H17" i="3"/>
  <c r="I17" i="3" s="1"/>
  <c r="H18" i="3"/>
  <c r="I18" i="3" s="1"/>
  <c r="H19" i="3"/>
  <c r="I19" i="3" s="1"/>
  <c r="H20" i="3"/>
  <c r="I20" i="3" s="1"/>
  <c r="H21" i="3"/>
  <c r="I21" i="3" s="1"/>
  <c r="H22" i="3"/>
  <c r="I22" i="3" s="1"/>
  <c r="H23" i="3"/>
  <c r="I23" i="3" s="1"/>
  <c r="H24" i="3"/>
  <c r="I24" i="3" s="1"/>
  <c r="H25" i="3"/>
  <c r="I25" i="3" s="1"/>
  <c r="H26" i="3"/>
  <c r="I26" i="3" s="1"/>
  <c r="H2" i="3"/>
  <c r="I2" i="3" s="1"/>
  <c r="H3" i="4"/>
  <c r="I3" i="4" s="1"/>
  <c r="H4" i="4"/>
  <c r="I4" i="4" s="1"/>
  <c r="H5" i="4"/>
  <c r="I5" i="4" s="1"/>
  <c r="H6" i="4"/>
  <c r="I6" i="4" s="1"/>
  <c r="H7" i="4"/>
  <c r="I7" i="4" s="1"/>
  <c r="H8" i="4"/>
  <c r="I8" i="4" s="1"/>
  <c r="H9" i="4"/>
  <c r="I9" i="4" s="1"/>
  <c r="H10" i="4"/>
  <c r="I10" i="4" s="1"/>
  <c r="H11" i="4"/>
  <c r="I11" i="4" s="1"/>
  <c r="H12" i="4"/>
  <c r="I12" i="4" s="1"/>
  <c r="H13" i="4"/>
  <c r="I13" i="4" s="1"/>
  <c r="H14" i="4"/>
  <c r="I14" i="4" s="1"/>
  <c r="H15" i="4"/>
  <c r="I15" i="4" s="1"/>
  <c r="H16" i="4"/>
  <c r="I16" i="4" s="1"/>
  <c r="H17" i="4"/>
  <c r="I17" i="4" s="1"/>
  <c r="H18" i="4"/>
  <c r="I18" i="4" s="1"/>
  <c r="H19" i="4"/>
  <c r="I19" i="4" s="1"/>
  <c r="H20" i="4"/>
  <c r="I20" i="4" s="1"/>
  <c r="H21" i="4"/>
  <c r="I21" i="4" s="1"/>
  <c r="H22" i="4"/>
  <c r="I22" i="4" s="1"/>
  <c r="H23" i="4"/>
  <c r="I23" i="4" s="1"/>
  <c r="H24" i="4"/>
  <c r="I24" i="4" s="1"/>
  <c r="H25" i="4"/>
  <c r="I25" i="4" s="1"/>
  <c r="H26" i="4"/>
  <c r="I26" i="4" s="1"/>
  <c r="H2" i="4"/>
  <c r="I31" i="1"/>
  <c r="I2" i="4" l="1"/>
  <c r="O2" i="4" s="1"/>
  <c r="I2" i="6"/>
  <c r="J2" i="6" s="1"/>
  <c r="K2" i="6" s="1"/>
  <c r="I10" i="6"/>
  <c r="J10" i="6" s="1"/>
  <c r="K10" i="6" s="1"/>
  <c r="L10" i="6" s="1"/>
  <c r="M10" i="6" s="1"/>
  <c r="N10" i="6" s="1"/>
  <c r="I18" i="6"/>
  <c r="J18" i="6" s="1"/>
  <c r="K18" i="6" s="1"/>
  <c r="L18" i="6" s="1"/>
  <c r="M18" i="6" s="1"/>
  <c r="N18" i="6" s="1"/>
  <c r="I12" i="6"/>
  <c r="J12" i="6" s="1"/>
  <c r="K12" i="6" s="1"/>
  <c r="L12" i="6" s="1"/>
  <c r="M12" i="6" s="1"/>
  <c r="N12" i="6" s="1"/>
  <c r="I4" i="6"/>
  <c r="O4" i="6" s="1"/>
  <c r="I20" i="6"/>
  <c r="J20" i="6" s="1"/>
  <c r="K20" i="6" s="1"/>
  <c r="L20" i="6" s="1"/>
  <c r="M20" i="6" s="1"/>
  <c r="N20" i="6" s="1"/>
  <c r="I6" i="6"/>
  <c r="J6" i="6" s="1"/>
  <c r="K6" i="6" s="1"/>
  <c r="L6" i="6" s="1"/>
  <c r="M6" i="6" s="1"/>
  <c r="N6" i="6" s="1"/>
  <c r="I9" i="6"/>
  <c r="O9" i="6" s="1"/>
  <c r="I26" i="6"/>
  <c r="O26" i="6" s="1"/>
  <c r="AA29" i="6"/>
  <c r="Z29" i="6" s="1"/>
  <c r="O25" i="6"/>
  <c r="J25" i="6"/>
  <c r="K25" i="6" s="1"/>
  <c r="L25" i="6" s="1"/>
  <c r="M25" i="6" s="1"/>
  <c r="N25" i="6" s="1"/>
  <c r="J22" i="6"/>
  <c r="K22" i="6" s="1"/>
  <c r="L22" i="6" s="1"/>
  <c r="M22" i="6" s="1"/>
  <c r="N22" i="6" s="1"/>
  <c r="O22" i="6"/>
  <c r="O17" i="6"/>
  <c r="J17" i="6"/>
  <c r="K17" i="6" s="1"/>
  <c r="L17" i="6" s="1"/>
  <c r="M17" i="6" s="1"/>
  <c r="N17" i="6" s="1"/>
  <c r="J14" i="6"/>
  <c r="K14" i="6" s="1"/>
  <c r="L14" i="6" s="1"/>
  <c r="M14" i="6" s="1"/>
  <c r="N14" i="6" s="1"/>
  <c r="O14" i="6"/>
  <c r="O5" i="6"/>
  <c r="J5" i="6"/>
  <c r="K5" i="6" s="1"/>
  <c r="J19" i="6"/>
  <c r="K19" i="6" s="1"/>
  <c r="O19" i="6"/>
  <c r="J24" i="6"/>
  <c r="K24" i="6" s="1"/>
  <c r="O24" i="6"/>
  <c r="O15" i="6"/>
  <c r="J15" i="6"/>
  <c r="K15" i="6" s="1"/>
  <c r="J11" i="6"/>
  <c r="K11" i="6" s="1"/>
  <c r="O11" i="6"/>
  <c r="J16" i="6"/>
  <c r="K16" i="6" s="1"/>
  <c r="O16" i="6"/>
  <c r="O7" i="6"/>
  <c r="J7" i="6"/>
  <c r="K7" i="6" s="1"/>
  <c r="O21" i="6"/>
  <c r="J21" i="6"/>
  <c r="K21" i="6" s="1"/>
  <c r="J8" i="6"/>
  <c r="K8" i="6" s="1"/>
  <c r="O8" i="6"/>
  <c r="J3" i="6"/>
  <c r="K3" i="6" s="1"/>
  <c r="O3" i="6"/>
  <c r="O13" i="6"/>
  <c r="J13" i="6"/>
  <c r="K13" i="6" s="1"/>
  <c r="O23" i="6"/>
  <c r="J23" i="6"/>
  <c r="K23" i="6" s="1"/>
  <c r="H27" i="3"/>
  <c r="I27" i="3" s="1"/>
  <c r="H27" i="5"/>
  <c r="I27" i="5" s="1"/>
  <c r="H18" i="7"/>
  <c r="I18" i="7" s="1"/>
  <c r="H19" i="7"/>
  <c r="I19" i="7" s="1"/>
  <c r="H20" i="7"/>
  <c r="I20" i="7"/>
  <c r="H21" i="7"/>
  <c r="I21" i="7"/>
  <c r="H22" i="7"/>
  <c r="I22" i="7" s="1"/>
  <c r="H23" i="7"/>
  <c r="I23" i="7"/>
  <c r="H24" i="7"/>
  <c r="I24" i="7"/>
  <c r="H25" i="7"/>
  <c r="I25" i="7"/>
  <c r="H26" i="7"/>
  <c r="I26" i="7" s="1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2" i="7"/>
  <c r="O2" i="6" l="1"/>
  <c r="O10" i="6"/>
  <c r="P10" i="6" s="1"/>
  <c r="O20" i="6"/>
  <c r="P20" i="6" s="1"/>
  <c r="O12" i="6"/>
  <c r="P12" i="6" s="1"/>
  <c r="J9" i="6"/>
  <c r="K9" i="6" s="1"/>
  <c r="L9" i="6" s="1"/>
  <c r="J26" i="6"/>
  <c r="K26" i="6" s="1"/>
  <c r="L26" i="6" s="1"/>
  <c r="M26" i="6" s="1"/>
  <c r="N26" i="6" s="1"/>
  <c r="P26" i="6" s="1"/>
  <c r="J4" i="6"/>
  <c r="K4" i="6" s="1"/>
  <c r="L4" i="6" s="1"/>
  <c r="M4" i="6" s="1"/>
  <c r="N4" i="6" s="1"/>
  <c r="P4" i="6" s="1"/>
  <c r="O18" i="6"/>
  <c r="O6" i="6"/>
  <c r="P6" i="6" s="1"/>
  <c r="P17" i="6"/>
  <c r="P25" i="6"/>
  <c r="P22" i="6"/>
  <c r="Z30" i="6"/>
  <c r="P14" i="6"/>
  <c r="L3" i="6"/>
  <c r="M3" i="6" s="1"/>
  <c r="N3" i="6" s="1"/>
  <c r="P3" i="6" s="1"/>
  <c r="L21" i="6"/>
  <c r="M21" i="6" s="1"/>
  <c r="N21" i="6" s="1"/>
  <c r="P21" i="6" s="1"/>
  <c r="L16" i="6"/>
  <c r="M16" i="6" s="1"/>
  <c r="N16" i="6" s="1"/>
  <c r="P16" i="6" s="1"/>
  <c r="L24" i="6"/>
  <c r="M24" i="6" s="1"/>
  <c r="N24" i="6" s="1"/>
  <c r="P24" i="6" s="1"/>
  <c r="L7" i="6"/>
  <c r="M7" i="6" s="1"/>
  <c r="N7" i="6" s="1"/>
  <c r="P7" i="6" s="1"/>
  <c r="L11" i="6"/>
  <c r="M11" i="6" s="1"/>
  <c r="N11" i="6" s="1"/>
  <c r="P11" i="6" s="1"/>
  <c r="L19" i="6"/>
  <c r="M19" i="6" s="1"/>
  <c r="N19" i="6" s="1"/>
  <c r="P19" i="6" s="1"/>
  <c r="L13" i="6"/>
  <c r="M13" i="6" s="1"/>
  <c r="N13" i="6" s="1"/>
  <c r="P13" i="6" s="1"/>
  <c r="L8" i="6"/>
  <c r="M8" i="6" s="1"/>
  <c r="N8" i="6" s="1"/>
  <c r="P8" i="6" s="1"/>
  <c r="L5" i="6"/>
  <c r="M5" i="6" s="1"/>
  <c r="N5" i="6" s="1"/>
  <c r="P5" i="6" s="1"/>
  <c r="L23" i="6"/>
  <c r="M23" i="6" s="1"/>
  <c r="N23" i="6" s="1"/>
  <c r="P23" i="6" s="1"/>
  <c r="L2" i="6"/>
  <c r="M2" i="6" s="1"/>
  <c r="L15" i="6"/>
  <c r="M15" i="6" s="1"/>
  <c r="N15" i="6" s="1"/>
  <c r="P15" i="6" s="1"/>
  <c r="T54" i="5"/>
  <c r="Z31" i="5"/>
  <c r="BD29" i="5"/>
  <c r="BC29" i="5"/>
  <c r="BB29" i="5"/>
  <c r="BA29" i="5"/>
  <c r="AZ29" i="5"/>
  <c r="AY29" i="5"/>
  <c r="AX29" i="5"/>
  <c r="AW29" i="5"/>
  <c r="AV29" i="5"/>
  <c r="AU29" i="5"/>
  <c r="AT29" i="5"/>
  <c r="AS29" i="5"/>
  <c r="AR29" i="5"/>
  <c r="AQ29" i="5"/>
  <c r="AP29" i="5"/>
  <c r="AO29" i="5"/>
  <c r="AN29" i="5"/>
  <c r="AM29" i="5"/>
  <c r="AL29" i="5"/>
  <c r="AK29" i="5"/>
  <c r="AJ29" i="5"/>
  <c r="AI29" i="5"/>
  <c r="AH29" i="5"/>
  <c r="AG29" i="5"/>
  <c r="AF29" i="5"/>
  <c r="G27" i="5"/>
  <c r="F27" i="5"/>
  <c r="E27" i="5"/>
  <c r="D27" i="5"/>
  <c r="C27" i="5"/>
  <c r="O26" i="5"/>
  <c r="J25" i="5"/>
  <c r="K25" i="5" s="1"/>
  <c r="J22" i="5"/>
  <c r="K22" i="5" s="1"/>
  <c r="O20" i="5"/>
  <c r="J17" i="5"/>
  <c r="K17" i="5" s="1"/>
  <c r="O16" i="5"/>
  <c r="J14" i="5"/>
  <c r="K14" i="5" s="1"/>
  <c r="O12" i="5"/>
  <c r="J9" i="5"/>
  <c r="K9" i="5" s="1"/>
  <c r="J6" i="5"/>
  <c r="K6" i="5" s="1"/>
  <c r="O4" i="5"/>
  <c r="M9" i="6" l="1"/>
  <c r="N9" i="6" s="1"/>
  <c r="P9" i="6" s="1"/>
  <c r="K27" i="6"/>
  <c r="J27" i="6"/>
  <c r="O27" i="6"/>
  <c r="O28" i="6" s="1"/>
  <c r="P18" i="6"/>
  <c r="N2" i="6"/>
  <c r="L27" i="6"/>
  <c r="J24" i="5"/>
  <c r="K24" i="5" s="1"/>
  <c r="L24" i="5" s="1"/>
  <c r="M24" i="5" s="1"/>
  <c r="N24" i="5" s="1"/>
  <c r="O24" i="5"/>
  <c r="O8" i="5"/>
  <c r="J8" i="5"/>
  <c r="K8" i="5" s="1"/>
  <c r="L8" i="5" s="1"/>
  <c r="J16" i="5"/>
  <c r="K16" i="5" s="1"/>
  <c r="L16" i="5" s="1"/>
  <c r="M16" i="5" s="1"/>
  <c r="N16" i="5" s="1"/>
  <c r="P16" i="5" s="1"/>
  <c r="AA29" i="5"/>
  <c r="Z29" i="5" s="1"/>
  <c r="O3" i="5"/>
  <c r="J3" i="5"/>
  <c r="K3" i="5" s="1"/>
  <c r="L14" i="5"/>
  <c r="M14" i="5" s="1"/>
  <c r="N14" i="5" s="1"/>
  <c r="J18" i="5"/>
  <c r="K18" i="5" s="1"/>
  <c r="O18" i="5"/>
  <c r="L9" i="5"/>
  <c r="M9" i="5" s="1"/>
  <c r="N9" i="5" s="1"/>
  <c r="J15" i="5"/>
  <c r="K15" i="5" s="1"/>
  <c r="O15" i="5"/>
  <c r="O19" i="5"/>
  <c r="J19" i="5"/>
  <c r="K19" i="5" s="1"/>
  <c r="L6" i="5"/>
  <c r="M6" i="5" s="1"/>
  <c r="N6" i="5" s="1"/>
  <c r="J10" i="5"/>
  <c r="K10" i="5" s="1"/>
  <c r="O10" i="5"/>
  <c r="O5" i="5"/>
  <c r="J5" i="5"/>
  <c r="K5" i="5" s="1"/>
  <c r="L25" i="5"/>
  <c r="M25" i="5" s="1"/>
  <c r="N25" i="5" s="1"/>
  <c r="J7" i="5"/>
  <c r="K7" i="5" s="1"/>
  <c r="O7" i="5"/>
  <c r="O11" i="5"/>
  <c r="J11" i="5"/>
  <c r="K11" i="5" s="1"/>
  <c r="J2" i="5"/>
  <c r="O2" i="5"/>
  <c r="O21" i="5"/>
  <c r="J21" i="5"/>
  <c r="K21" i="5" s="1"/>
  <c r="O13" i="5"/>
  <c r="J13" i="5"/>
  <c r="K13" i="5" s="1"/>
  <c r="L22" i="5"/>
  <c r="M22" i="5" s="1"/>
  <c r="N22" i="5" s="1"/>
  <c r="J26" i="5"/>
  <c r="K26" i="5" s="1"/>
  <c r="L17" i="5"/>
  <c r="M17" i="5" s="1"/>
  <c r="N17" i="5" s="1"/>
  <c r="J23" i="5"/>
  <c r="K23" i="5" s="1"/>
  <c r="O23" i="5"/>
  <c r="O6" i="5"/>
  <c r="O14" i="5"/>
  <c r="O22" i="5"/>
  <c r="J4" i="5"/>
  <c r="K4" i="5" s="1"/>
  <c r="J12" i="5"/>
  <c r="K12" i="5" s="1"/>
  <c r="J20" i="5"/>
  <c r="K20" i="5" s="1"/>
  <c r="O9" i="5"/>
  <c r="O17" i="5"/>
  <c r="O25" i="5"/>
  <c r="M27" i="6" l="1"/>
  <c r="Z33" i="6" s="1"/>
  <c r="N27" i="6"/>
  <c r="P2" i="6"/>
  <c r="P27" i="6" s="1"/>
  <c r="P24" i="5"/>
  <c r="O27" i="5"/>
  <c r="O28" i="5" s="1"/>
  <c r="M8" i="5"/>
  <c r="N8" i="5" s="1"/>
  <c r="P8" i="5" s="1"/>
  <c r="Z30" i="5"/>
  <c r="Z34" i="3" s="1"/>
  <c r="L10" i="5"/>
  <c r="M10" i="5" s="1"/>
  <c r="N10" i="5" s="1"/>
  <c r="P10" i="5" s="1"/>
  <c r="P17" i="5"/>
  <c r="L12" i="5"/>
  <c r="M12" i="5" s="1"/>
  <c r="N12" i="5" s="1"/>
  <c r="P12" i="5" s="1"/>
  <c r="P14" i="5"/>
  <c r="L11" i="5"/>
  <c r="M11" i="5" s="1"/>
  <c r="N11" i="5" s="1"/>
  <c r="P11" i="5" s="1"/>
  <c r="L5" i="5"/>
  <c r="M5" i="5" s="1"/>
  <c r="N5" i="5" s="1"/>
  <c r="P5" i="5" s="1"/>
  <c r="L18" i="5"/>
  <c r="M18" i="5" s="1"/>
  <c r="N18" i="5" s="1"/>
  <c r="P18" i="5" s="1"/>
  <c r="P22" i="5"/>
  <c r="J27" i="5"/>
  <c r="K2" i="5"/>
  <c r="P25" i="5"/>
  <c r="P6" i="5"/>
  <c r="L26" i="5"/>
  <c r="M26" i="5" s="1"/>
  <c r="N26" i="5" s="1"/>
  <c r="P26" i="5" s="1"/>
  <c r="L21" i="5"/>
  <c r="M21" i="5" s="1"/>
  <c r="N21" i="5" s="1"/>
  <c r="P21" i="5" s="1"/>
  <c r="L19" i="5"/>
  <c r="M19" i="5" s="1"/>
  <c r="N19" i="5" s="1"/>
  <c r="P19" i="5" s="1"/>
  <c r="P9" i="5"/>
  <c r="L23" i="5"/>
  <c r="M23" i="5" s="1"/>
  <c r="N23" i="5" s="1"/>
  <c r="P23" i="5" s="1"/>
  <c r="L7" i="5"/>
  <c r="M7" i="5" s="1"/>
  <c r="N7" i="5" s="1"/>
  <c r="P7" i="5" s="1"/>
  <c r="L3" i="5"/>
  <c r="L4" i="5"/>
  <c r="M4" i="5" s="1"/>
  <c r="N4" i="5" s="1"/>
  <c r="P4" i="5" s="1"/>
  <c r="L20" i="5"/>
  <c r="M20" i="5" s="1"/>
  <c r="N20" i="5" s="1"/>
  <c r="P20" i="5" s="1"/>
  <c r="L13" i="5"/>
  <c r="M13" i="5" s="1"/>
  <c r="N13" i="5" s="1"/>
  <c r="P13" i="5" s="1"/>
  <c r="L15" i="5"/>
  <c r="M15" i="5" s="1"/>
  <c r="N15" i="5" s="1"/>
  <c r="P15" i="5" s="1"/>
  <c r="P28" i="6" l="1"/>
  <c r="Z32" i="6" s="1"/>
  <c r="M3" i="5"/>
  <c r="N3" i="5" s="1"/>
  <c r="P3" i="5" s="1"/>
  <c r="K27" i="5"/>
  <c r="L2" i="5"/>
  <c r="L27" i="5" s="1"/>
  <c r="O29" i="6" l="1"/>
  <c r="M2" i="5"/>
  <c r="N2" i="5" s="1"/>
  <c r="M27" i="5" l="1"/>
  <c r="Z33" i="5" s="1"/>
  <c r="N27" i="5"/>
  <c r="P2" i="5"/>
  <c r="P27" i="5" s="1"/>
  <c r="P28" i="5" s="1"/>
  <c r="Z32" i="5" s="1"/>
  <c r="O29" i="5" l="1"/>
  <c r="T54" i="4" l="1"/>
  <c r="H27" i="4" s="1"/>
  <c r="I27" i="4" s="1"/>
  <c r="Z31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R29" i="4"/>
  <c r="AQ29" i="4"/>
  <c r="AP29" i="4"/>
  <c r="AO29" i="4"/>
  <c r="AN29" i="4"/>
  <c r="AM29" i="4"/>
  <c r="AL29" i="4"/>
  <c r="AK29" i="4"/>
  <c r="AJ29" i="4"/>
  <c r="AI29" i="4"/>
  <c r="AH29" i="4"/>
  <c r="AG29" i="4"/>
  <c r="AF29" i="4"/>
  <c r="G27" i="4"/>
  <c r="F27" i="4"/>
  <c r="E27" i="4"/>
  <c r="D27" i="4"/>
  <c r="C27" i="4"/>
  <c r="J25" i="4"/>
  <c r="K25" i="4" s="1"/>
  <c r="J23" i="4"/>
  <c r="K23" i="4" s="1"/>
  <c r="O19" i="4"/>
  <c r="J17" i="4"/>
  <c r="K17" i="4" s="1"/>
  <c r="J15" i="4"/>
  <c r="K15" i="4" s="1"/>
  <c r="O11" i="4"/>
  <c r="J9" i="4"/>
  <c r="K9" i="4" s="1"/>
  <c r="J7" i="4"/>
  <c r="K7" i="4" s="1"/>
  <c r="O3" i="4" l="1"/>
  <c r="AA29" i="4"/>
  <c r="Z29" i="4" s="1"/>
  <c r="O17" i="4"/>
  <c r="O9" i="4"/>
  <c r="O25" i="4"/>
  <c r="L15" i="4"/>
  <c r="M15" i="4" s="1"/>
  <c r="N15" i="4" s="1"/>
  <c r="J10" i="4"/>
  <c r="K10" i="4" s="1"/>
  <c r="O10" i="4"/>
  <c r="O21" i="4"/>
  <c r="J21" i="4"/>
  <c r="K21" i="4" s="1"/>
  <c r="J6" i="4"/>
  <c r="K6" i="4" s="1"/>
  <c r="O6" i="4"/>
  <c r="L7" i="4"/>
  <c r="M7" i="4" s="1"/>
  <c r="N7" i="4" s="1"/>
  <c r="O12" i="4"/>
  <c r="J12" i="4"/>
  <c r="K12" i="4" s="1"/>
  <c r="L23" i="4"/>
  <c r="M23" i="4" s="1"/>
  <c r="N23" i="4" s="1"/>
  <c r="J2" i="4"/>
  <c r="J8" i="4"/>
  <c r="K8" i="4" s="1"/>
  <c r="O8" i="4"/>
  <c r="J13" i="4"/>
  <c r="K13" i="4" s="1"/>
  <c r="O13" i="4"/>
  <c r="O18" i="4"/>
  <c r="J18" i="4"/>
  <c r="K18" i="4" s="1"/>
  <c r="J24" i="4"/>
  <c r="K24" i="4" s="1"/>
  <c r="O24" i="4"/>
  <c r="O4" i="4"/>
  <c r="J4" i="4"/>
  <c r="K4" i="4" s="1"/>
  <c r="O20" i="4"/>
  <c r="J20" i="4"/>
  <c r="K20" i="4" s="1"/>
  <c r="O5" i="4"/>
  <c r="J5" i="4"/>
  <c r="K5" i="4" s="1"/>
  <c r="J16" i="4"/>
  <c r="K16" i="4" s="1"/>
  <c r="O16" i="4"/>
  <c r="O26" i="4"/>
  <c r="J26" i="4"/>
  <c r="K26" i="4" s="1"/>
  <c r="J22" i="4"/>
  <c r="K22" i="4" s="1"/>
  <c r="O22" i="4"/>
  <c r="L17" i="4"/>
  <c r="M17" i="4" s="1"/>
  <c r="N17" i="4" s="1"/>
  <c r="J14" i="4"/>
  <c r="K14" i="4" s="1"/>
  <c r="O14" i="4"/>
  <c r="L9" i="4"/>
  <c r="M9" i="4" s="1"/>
  <c r="N9" i="4" s="1"/>
  <c r="L25" i="4"/>
  <c r="M25" i="4" s="1"/>
  <c r="N25" i="4" s="1"/>
  <c r="J11" i="4"/>
  <c r="K11" i="4" s="1"/>
  <c r="O7" i="4"/>
  <c r="O15" i="4"/>
  <c r="O23" i="4"/>
  <c r="J3" i="4"/>
  <c r="K3" i="4" s="1"/>
  <c r="J19" i="4"/>
  <c r="K19" i="4" s="1"/>
  <c r="O4" i="3"/>
  <c r="J6" i="3"/>
  <c r="K6" i="3" s="1"/>
  <c r="J7" i="3"/>
  <c r="K7" i="3" s="1"/>
  <c r="J8" i="3"/>
  <c r="K8" i="3" s="1"/>
  <c r="O9" i="3"/>
  <c r="O10" i="3"/>
  <c r="O12" i="3"/>
  <c r="J14" i="3"/>
  <c r="K14" i="3" s="1"/>
  <c r="J15" i="3"/>
  <c r="K15" i="3" s="1"/>
  <c r="O18" i="3"/>
  <c r="O20" i="3"/>
  <c r="J22" i="3"/>
  <c r="K22" i="3" s="1"/>
  <c r="J23" i="3"/>
  <c r="K23" i="3" s="1"/>
  <c r="J24" i="3"/>
  <c r="K24" i="3" s="1"/>
  <c r="O26" i="3"/>
  <c r="T54" i="3"/>
  <c r="Z31" i="3"/>
  <c r="BD29" i="3"/>
  <c r="BC29" i="3"/>
  <c r="BB29" i="3"/>
  <c r="BA29" i="3"/>
  <c r="AZ29" i="3"/>
  <c r="AY29" i="3"/>
  <c r="AX29" i="3"/>
  <c r="AW29" i="3"/>
  <c r="AV29" i="3"/>
  <c r="AU29" i="3"/>
  <c r="AT29" i="3"/>
  <c r="AS29" i="3"/>
  <c r="AR29" i="3"/>
  <c r="AQ29" i="3"/>
  <c r="AP29" i="3"/>
  <c r="AO29" i="3"/>
  <c r="AN29" i="3"/>
  <c r="AM29" i="3"/>
  <c r="AL29" i="3"/>
  <c r="AK29" i="3"/>
  <c r="AJ29" i="3"/>
  <c r="AI29" i="3"/>
  <c r="AH29" i="3"/>
  <c r="AG29" i="3"/>
  <c r="AF29" i="3"/>
  <c r="D27" i="3"/>
  <c r="E27" i="3"/>
  <c r="F27" i="3"/>
  <c r="G27" i="3"/>
  <c r="C27" i="3"/>
  <c r="O3" i="3"/>
  <c r="AA29" i="3" l="1"/>
  <c r="Z30" i="3" s="1"/>
  <c r="O27" i="4"/>
  <c r="O28" i="4" s="1"/>
  <c r="P17" i="4"/>
  <c r="P25" i="4"/>
  <c r="P9" i="4"/>
  <c r="O23" i="3"/>
  <c r="Z30" i="4"/>
  <c r="Z34" i="6" s="1"/>
  <c r="P23" i="4"/>
  <c r="P7" i="4"/>
  <c r="L4" i="4"/>
  <c r="M4" i="4" s="1"/>
  <c r="N4" i="4" s="1"/>
  <c r="P4" i="4" s="1"/>
  <c r="L12" i="4"/>
  <c r="M12" i="4" s="1"/>
  <c r="N12" i="4" s="1"/>
  <c r="P12" i="4" s="1"/>
  <c r="L11" i="4"/>
  <c r="M11" i="4" s="1"/>
  <c r="N11" i="4" s="1"/>
  <c r="P11" i="4" s="1"/>
  <c r="L16" i="4"/>
  <c r="M16" i="4" s="1"/>
  <c r="N16" i="4" s="1"/>
  <c r="P16" i="4" s="1"/>
  <c r="L8" i="4"/>
  <c r="M8" i="4" s="1"/>
  <c r="N8" i="4" s="1"/>
  <c r="P8" i="4" s="1"/>
  <c r="L5" i="4"/>
  <c r="M5" i="4" s="1"/>
  <c r="N5" i="4" s="1"/>
  <c r="P5" i="4" s="1"/>
  <c r="L10" i="4"/>
  <c r="M10" i="4" s="1"/>
  <c r="N10" i="4" s="1"/>
  <c r="P10" i="4" s="1"/>
  <c r="L24" i="4"/>
  <c r="M24" i="4" s="1"/>
  <c r="N24" i="4" s="1"/>
  <c r="P24" i="4" s="1"/>
  <c r="L19" i="4"/>
  <c r="M19" i="4" s="1"/>
  <c r="N19" i="4" s="1"/>
  <c r="P19" i="4" s="1"/>
  <c r="L18" i="4"/>
  <c r="M18" i="4" s="1"/>
  <c r="N18" i="4" s="1"/>
  <c r="P18" i="4" s="1"/>
  <c r="L3" i="4"/>
  <c r="M3" i="4" s="1"/>
  <c r="N3" i="4" s="1"/>
  <c r="P3" i="4" s="1"/>
  <c r="L22" i="4"/>
  <c r="M22" i="4" s="1"/>
  <c r="N22" i="4" s="1"/>
  <c r="P22" i="4" s="1"/>
  <c r="L20" i="4"/>
  <c r="M20" i="4" s="1"/>
  <c r="N20" i="4" s="1"/>
  <c r="P20" i="4" s="1"/>
  <c r="L14" i="4"/>
  <c r="M14" i="4" s="1"/>
  <c r="N14" i="4" s="1"/>
  <c r="P14" i="4" s="1"/>
  <c r="J27" i="4"/>
  <c r="K2" i="4"/>
  <c r="L26" i="4"/>
  <c r="M26" i="4" s="1"/>
  <c r="N26" i="4" s="1"/>
  <c r="P26" i="4" s="1"/>
  <c r="L6" i="4"/>
  <c r="M6" i="4" s="1"/>
  <c r="N6" i="4" s="1"/>
  <c r="P6" i="4" s="1"/>
  <c r="P15" i="4"/>
  <c r="L13" i="4"/>
  <c r="M13" i="4" s="1"/>
  <c r="N13" i="4" s="1"/>
  <c r="P13" i="4" s="1"/>
  <c r="L21" i="4"/>
  <c r="M21" i="4" s="1"/>
  <c r="N21" i="4" s="1"/>
  <c r="P21" i="4" s="1"/>
  <c r="J16" i="3"/>
  <c r="K16" i="3" s="1"/>
  <c r="L16" i="3" s="1"/>
  <c r="M16" i="3" s="1"/>
  <c r="N16" i="3" s="1"/>
  <c r="O16" i="3"/>
  <c r="J3" i="3"/>
  <c r="K3" i="3" s="1"/>
  <c r="L3" i="3" s="1"/>
  <c r="M3" i="3" s="1"/>
  <c r="N3" i="3" s="1"/>
  <c r="P3" i="3" s="1"/>
  <c r="O15" i="3"/>
  <c r="O11" i="3"/>
  <c r="J11" i="3"/>
  <c r="K11" i="3" s="1"/>
  <c r="L11" i="3" s="1"/>
  <c r="M11" i="3" s="1"/>
  <c r="N11" i="3" s="1"/>
  <c r="O19" i="3"/>
  <c r="J19" i="3"/>
  <c r="K19" i="3" s="1"/>
  <c r="L19" i="3" s="1"/>
  <c r="M19" i="3" s="1"/>
  <c r="N19" i="3" s="1"/>
  <c r="O8" i="3"/>
  <c r="J20" i="3"/>
  <c r="K20" i="3" s="1"/>
  <c r="L20" i="3" s="1"/>
  <c r="J12" i="3"/>
  <c r="K12" i="3" s="1"/>
  <c r="L12" i="3" s="1"/>
  <c r="O7" i="3"/>
  <c r="J4" i="3"/>
  <c r="K4" i="3" s="1"/>
  <c r="L4" i="3" s="1"/>
  <c r="M4" i="3" s="1"/>
  <c r="N4" i="3" s="1"/>
  <c r="P4" i="3" s="1"/>
  <c r="O24" i="3"/>
  <c r="O2" i="3"/>
  <c r="J2" i="3"/>
  <c r="O5" i="3"/>
  <c r="J5" i="3"/>
  <c r="K5" i="3" s="1"/>
  <c r="J13" i="3"/>
  <c r="K13" i="3" s="1"/>
  <c r="O13" i="3"/>
  <c r="J25" i="3"/>
  <c r="K25" i="3" s="1"/>
  <c r="O25" i="3"/>
  <c r="O17" i="3"/>
  <c r="J17" i="3"/>
  <c r="K17" i="3" s="1"/>
  <c r="L8" i="3"/>
  <c r="M8" i="3" s="1"/>
  <c r="N8" i="3" s="1"/>
  <c r="L23" i="3"/>
  <c r="M23" i="3" s="1"/>
  <c r="N23" i="3" s="1"/>
  <c r="L15" i="3"/>
  <c r="M15" i="3" s="1"/>
  <c r="N15" i="3" s="1"/>
  <c r="L7" i="3"/>
  <c r="M7" i="3" s="1"/>
  <c r="N7" i="3" s="1"/>
  <c r="J21" i="3"/>
  <c r="K21" i="3" s="1"/>
  <c r="O21" i="3"/>
  <c r="L24" i="3"/>
  <c r="M24" i="3" s="1"/>
  <c r="N24" i="3" s="1"/>
  <c r="L22" i="3"/>
  <c r="M22" i="3" s="1"/>
  <c r="N22" i="3" s="1"/>
  <c r="L14" i="3"/>
  <c r="M14" i="3" s="1"/>
  <c r="N14" i="3" s="1"/>
  <c r="L6" i="3"/>
  <c r="M6" i="3" s="1"/>
  <c r="N6" i="3" s="1"/>
  <c r="J26" i="3"/>
  <c r="K26" i="3" s="1"/>
  <c r="J18" i="3"/>
  <c r="K18" i="3" s="1"/>
  <c r="J10" i="3"/>
  <c r="K10" i="3" s="1"/>
  <c r="O22" i="3"/>
  <c r="O14" i="3"/>
  <c r="O6" i="3"/>
  <c r="J9" i="3"/>
  <c r="K9" i="3" s="1"/>
  <c r="P24" i="3" l="1"/>
  <c r="P23" i="3"/>
  <c r="P11" i="3"/>
  <c r="P16" i="3"/>
  <c r="P8" i="3"/>
  <c r="P19" i="3"/>
  <c r="P15" i="3"/>
  <c r="K27" i="4"/>
  <c r="L2" i="4"/>
  <c r="L27" i="4" s="1"/>
  <c r="P7" i="3"/>
  <c r="Z29" i="3"/>
  <c r="M12" i="3"/>
  <c r="N12" i="3" s="1"/>
  <c r="P12" i="3" s="1"/>
  <c r="M20" i="3"/>
  <c r="N20" i="3" s="1"/>
  <c r="P20" i="3" s="1"/>
  <c r="P22" i="3"/>
  <c r="O27" i="3"/>
  <c r="O28" i="3" s="1"/>
  <c r="K2" i="3"/>
  <c r="J27" i="3"/>
  <c r="L9" i="3"/>
  <c r="M9" i="3" s="1"/>
  <c r="N9" i="3" s="1"/>
  <c r="P9" i="3" s="1"/>
  <c r="P14" i="3"/>
  <c r="L17" i="3"/>
  <c r="M17" i="3" s="1"/>
  <c r="N17" i="3" s="1"/>
  <c r="P17" i="3" s="1"/>
  <c r="L25" i="3"/>
  <c r="M25" i="3" s="1"/>
  <c r="N25" i="3" s="1"/>
  <c r="P25" i="3" s="1"/>
  <c r="L10" i="3"/>
  <c r="M10" i="3" s="1"/>
  <c r="N10" i="3" s="1"/>
  <c r="P10" i="3" s="1"/>
  <c r="L5" i="3"/>
  <c r="M5" i="3" s="1"/>
  <c r="N5" i="3" s="1"/>
  <c r="P5" i="3" s="1"/>
  <c r="L18" i="3"/>
  <c r="M18" i="3" s="1"/>
  <c r="N18" i="3" s="1"/>
  <c r="P18" i="3" s="1"/>
  <c r="L21" i="3"/>
  <c r="M21" i="3" s="1"/>
  <c r="N21" i="3" s="1"/>
  <c r="P21" i="3" s="1"/>
  <c r="L13" i="3"/>
  <c r="M13" i="3" s="1"/>
  <c r="N13" i="3" s="1"/>
  <c r="P13" i="3" s="1"/>
  <c r="L26" i="3"/>
  <c r="M26" i="3" s="1"/>
  <c r="N26" i="3" s="1"/>
  <c r="P26" i="3" s="1"/>
  <c r="P6" i="3"/>
  <c r="M2" i="4" l="1"/>
  <c r="N2" i="4" s="1"/>
  <c r="N27" i="4" s="1"/>
  <c r="K27" i="3"/>
  <c r="L2" i="3"/>
  <c r="M2" i="3" s="1"/>
  <c r="N2" i="3" s="1"/>
  <c r="M27" i="4" l="1"/>
  <c r="Z33" i="4" s="1"/>
  <c r="L27" i="3"/>
  <c r="P2" i="4" l="1"/>
  <c r="P27" i="4" s="1"/>
  <c r="P28" i="4" s="1"/>
  <c r="Z32" i="4" s="1"/>
  <c r="P2" i="3"/>
  <c r="P27" i="3" s="1"/>
  <c r="P28" i="3" s="1"/>
  <c r="Z32" i="3" s="1"/>
  <c r="M27" i="3"/>
  <c r="Z33" i="3" s="1"/>
  <c r="O29" i="4" l="1"/>
  <c r="N27" i="3"/>
  <c r="O29" i="3" l="1"/>
  <c r="C54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O29" i="1"/>
  <c r="P29" i="1"/>
  <c r="J29" i="1" l="1"/>
  <c r="I30" i="1" s="1"/>
  <c r="I29" i="1" l="1"/>
</calcChain>
</file>

<file path=xl/sharedStrings.xml><?xml version="1.0" encoding="utf-8"?>
<sst xmlns="http://schemas.openxmlformats.org/spreadsheetml/2006/main" count="579" uniqueCount="81">
  <si>
    <t>CAT</t>
  </si>
  <si>
    <t>CB</t>
  </si>
  <si>
    <t>CBG</t>
  </si>
  <si>
    <t>CBS</t>
  </si>
  <si>
    <t>CCE</t>
  </si>
  <si>
    <t>CCI</t>
  </si>
  <si>
    <t>CCL</t>
  </si>
  <si>
    <t>CELG</t>
  </si>
  <si>
    <t>CERN</t>
  </si>
  <si>
    <t>CF</t>
  </si>
  <si>
    <t>CHK</t>
  </si>
  <si>
    <t>CHRW</t>
  </si>
  <si>
    <t>CI</t>
  </si>
  <si>
    <t>CINF</t>
  </si>
  <si>
    <t>CL</t>
  </si>
  <si>
    <t>CLX</t>
  </si>
  <si>
    <t>CMA</t>
  </si>
  <si>
    <t>CMCSA</t>
  </si>
  <si>
    <t>CME</t>
  </si>
  <si>
    <t>CMG</t>
  </si>
  <si>
    <t>CMI</t>
  </si>
  <si>
    <t>CMS</t>
  </si>
  <si>
    <t>CNP</t>
  </si>
  <si>
    <t>CNX</t>
  </si>
  <si>
    <t>COF</t>
  </si>
  <si>
    <t>w</t>
  </si>
  <si>
    <t>LB</t>
  </si>
  <si>
    <t>UB</t>
  </si>
  <si>
    <t>Port Variance^2=</t>
  </si>
  <si>
    <t>R=</t>
  </si>
  <si>
    <t>w'</t>
  </si>
  <si>
    <t>Port Stdev=</t>
  </si>
  <si>
    <t>Port Return=</t>
  </si>
  <si>
    <t>Lambda=</t>
  </si>
  <si>
    <t>Obj Function=</t>
  </si>
  <si>
    <t>sum</t>
  </si>
  <si>
    <t>a1</t>
    <phoneticPr fontId="18" type="noConversion"/>
  </si>
  <si>
    <t>a2</t>
    <phoneticPr fontId="18" type="noConversion"/>
  </si>
  <si>
    <t>a3</t>
    <phoneticPr fontId="18" type="noConversion"/>
  </si>
  <si>
    <t>a4</t>
    <phoneticPr fontId="18" type="noConversion"/>
  </si>
  <si>
    <t>b1</t>
    <phoneticPr fontId="18" type="noConversion"/>
  </si>
  <si>
    <t>investment</t>
    <phoneticPr fontId="18" type="noConversion"/>
  </si>
  <si>
    <t>POV</t>
    <phoneticPr fontId="18" type="noConversion"/>
  </si>
  <si>
    <t>Group</t>
    <phoneticPr fontId="18" type="noConversion"/>
  </si>
  <si>
    <t>Symbol</t>
    <phoneticPr fontId="18" type="noConversion"/>
  </si>
  <si>
    <t>Price</t>
    <phoneticPr fontId="18" type="noConversion"/>
  </si>
  <si>
    <t>ADV</t>
    <phoneticPr fontId="18" type="noConversion"/>
  </si>
  <si>
    <t>Volatility</t>
    <phoneticPr fontId="18" type="noConversion"/>
  </si>
  <si>
    <t>LnMktCap</t>
    <phoneticPr fontId="18" type="noConversion"/>
  </si>
  <si>
    <t>EstReturn %</t>
    <phoneticPr fontId="18" type="noConversion"/>
  </si>
  <si>
    <t>ADV size</t>
    <phoneticPr fontId="18" type="noConversion"/>
  </si>
  <si>
    <t>MI_bp</t>
    <phoneticPr fontId="18" type="noConversion"/>
  </si>
  <si>
    <t>MI_$</t>
    <phoneticPr fontId="18" type="noConversion"/>
  </si>
  <si>
    <t>Re</t>
    <phoneticPr fontId="18" type="noConversion"/>
  </si>
  <si>
    <t>Net Re</t>
    <phoneticPr fontId="18" type="noConversion"/>
  </si>
  <si>
    <t>Shares</t>
    <phoneticPr fontId="18" type="noConversion"/>
  </si>
  <si>
    <t>Invest</t>
    <phoneticPr fontId="18" type="noConversion"/>
  </si>
  <si>
    <t>W</t>
    <phoneticPr fontId="18" type="noConversion"/>
  </si>
  <si>
    <t>total</t>
    <phoneticPr fontId="18" type="noConversion"/>
  </si>
  <si>
    <t>change of return</t>
    <phoneticPr fontId="18" type="noConversion"/>
  </si>
  <si>
    <t>change of return</t>
    <phoneticPr fontId="18" type="noConversion"/>
  </si>
  <si>
    <t>variance</t>
    <phoneticPr fontId="18" type="noConversion"/>
  </si>
  <si>
    <t>stdev</t>
    <phoneticPr fontId="18" type="noConversion"/>
  </si>
  <si>
    <t>stdev</t>
    <phoneticPr fontId="18" type="noConversion"/>
  </si>
  <si>
    <t>return</t>
    <phoneticPr fontId="18" type="noConversion"/>
  </si>
  <si>
    <t>Net Return</t>
  </si>
  <si>
    <t>Net Return</t>
    <phoneticPr fontId="18" type="noConversion"/>
  </si>
  <si>
    <t>Net Return</t>
    <phoneticPr fontId="18" type="noConversion"/>
  </si>
  <si>
    <t>risk*</t>
    <phoneticPr fontId="18" type="noConversion"/>
  </si>
  <si>
    <t>Net Return</t>
    <phoneticPr fontId="18" type="noConversion"/>
  </si>
  <si>
    <t>Net Return</t>
    <phoneticPr fontId="18" type="noConversion"/>
  </si>
  <si>
    <t>risk*</t>
    <phoneticPr fontId="18" type="noConversion"/>
  </si>
  <si>
    <t>MI_bp</t>
    <phoneticPr fontId="18" type="noConversion"/>
  </si>
  <si>
    <t>MI-bp</t>
  </si>
  <si>
    <t>MI-bp</t>
    <phoneticPr fontId="18" type="noConversion"/>
  </si>
  <si>
    <t>A1</t>
    <phoneticPr fontId="18" type="noConversion"/>
  </si>
  <si>
    <t>A2</t>
    <phoneticPr fontId="18" type="noConversion"/>
  </si>
  <si>
    <t>B1</t>
    <phoneticPr fontId="18" type="noConversion"/>
  </si>
  <si>
    <t>B2</t>
    <phoneticPr fontId="18" type="noConversion"/>
  </si>
  <si>
    <t>Investment</t>
    <phoneticPr fontId="18" type="noConversion"/>
  </si>
  <si>
    <t>change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</si>
</sst>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24" formatCode="\$#,##0_);[Red]\(\$#,##0\)"/>
    <numFmt numFmtId="26" formatCode="\$#,##0.00_);[Red]\(\$#,##0.00\)"/>
    <numFmt numFmtId="176" formatCode="0.0%"/>
    <numFmt numFmtId="177" formatCode="#,##0_);[Red]\(#,##0\)"/>
    <numFmt numFmtId="178" formatCode="0.000000000%"/>
    <numFmt numFmtId="179" formatCode="0.000%"/>
    <numFmt numFmtId="180" formatCode="0.0000_ "/>
    <numFmt numFmtId="181" formatCode="0.00000%"/>
    <numFmt numFmtId="182" formatCode="0.000000%"/>
    <numFmt numFmtId="183" formatCode="0.00000000%"/>
  </numFmts>
  <fonts count="19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24" fontId="0" fillId="0" borderId="0" xfId="0" applyNumberFormat="1">
      <alignment vertical="center"/>
    </xf>
    <xf numFmtId="176" fontId="0" fillId="0" borderId="0" xfId="1" applyNumberFormat="1" applyFont="1" applyAlignment="1"/>
    <xf numFmtId="2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9" fontId="0" fillId="0" borderId="0" xfId="1" applyFon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Efficient Frontier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'c'!$I$38</c:f>
              <c:strCache>
                <c:ptCount val="1"/>
                <c:pt idx="0">
                  <c:v>return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'c'!$H$39:$H$45</c:f>
              <c:numCache>
                <c:formatCode>General</c:formatCode>
                <c:ptCount val="7"/>
                <c:pt idx="0">
                  <c:v>9.7738007107480915E-2</c:v>
                </c:pt>
                <c:pt idx="1">
                  <c:v>9.4573679127783417E-2</c:v>
                </c:pt>
                <c:pt idx="2">
                  <c:v>9.5444461499201022E-2</c:v>
                </c:pt>
                <c:pt idx="3">
                  <c:v>0.11183655361962462</c:v>
                </c:pt>
                <c:pt idx="4">
                  <c:v>0.1228076729326161</c:v>
                </c:pt>
                <c:pt idx="5">
                  <c:v>0.16004614873911011</c:v>
                </c:pt>
                <c:pt idx="6">
                  <c:v>0.17705070602722323</c:v>
                </c:pt>
              </c:numCache>
            </c:numRef>
          </c:xVal>
          <c:yVal>
            <c:numRef>
              <c:f>'c'!$I$39:$I$45</c:f>
              <c:numCache>
                <c:formatCode>0.00%</c:formatCode>
                <c:ptCount val="7"/>
                <c:pt idx="0">
                  <c:v>0.08</c:v>
                </c:pt>
                <c:pt idx="1">
                  <c:v>0.09</c:v>
                </c:pt>
                <c:pt idx="2">
                  <c:v>0.1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0.16</c:v>
                </c:pt>
                <c:pt idx="6">
                  <c:v>0.16545001848559229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31-4DA8-8260-E6B3FF947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7496895"/>
        <c:axId val="1876978655"/>
      </c:scatterChart>
      <c:valAx>
        <c:axId val="20574968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Stdev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76978655"/>
        <c:crosses val="autoZero"/>
        <c:crossBetween val="midCat"/>
      </c:valAx>
      <c:valAx>
        <c:axId val="1876978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574968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228600</xdr:colOff>
      <xdr:row>34</xdr:row>
      <xdr:rowOff>114300</xdr:rowOff>
    </xdr:from>
    <xdr:to>
      <xdr:col>20</xdr:col>
      <xdr:colOff>0</xdr:colOff>
      <xdr:row>49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83C92C-1ADB-451B-8EB5-59015A301C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54"/>
  <sheetViews>
    <sheetView topLeftCell="A26" workbookViewId="0">
      <selection activeCell="N55" sqref="N55"/>
    </sheetView>
  </sheetViews>
  <sheetFormatPr defaultRowHeight="14.25" x14ac:dyDescent="0.2"/>
  <cols>
    <col min="9" max="9" width="13" bestFit="1" customWidth="1"/>
    <col min="10" max="10" width="13.125" bestFit="1" customWidth="1"/>
  </cols>
  <sheetData>
    <row r="1" spans="1:29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</row>
    <row r="2" spans="1:29" x14ac:dyDescent="0.2">
      <c r="A2" t="s">
        <v>0</v>
      </c>
      <c r="B2">
        <v>4.0836718000000001E-2</v>
      </c>
      <c r="C2">
        <v>1.1484558000000001E-2</v>
      </c>
      <c r="D2">
        <v>1.5073507999999999E-2</v>
      </c>
      <c r="E2">
        <v>1.7006291E-2</v>
      </c>
      <c r="F2">
        <v>1.4288515999999999E-2</v>
      </c>
      <c r="G2">
        <v>8.5739309999999999E-3</v>
      </c>
      <c r="H2">
        <v>1.4396213E-2</v>
      </c>
      <c r="I2">
        <v>1.6525015000000001E-2</v>
      </c>
      <c r="J2">
        <v>1.5196238000000001E-2</v>
      </c>
      <c r="K2">
        <v>1.2164378E-2</v>
      </c>
      <c r="L2">
        <v>2.2022389E-2</v>
      </c>
      <c r="M2">
        <v>1.2989624999999999E-2</v>
      </c>
      <c r="N2">
        <v>1.2630687E-2</v>
      </c>
      <c r="O2">
        <v>1.3026874000000001E-2</v>
      </c>
      <c r="P2">
        <v>1.0012559000000001E-2</v>
      </c>
      <c r="Q2">
        <v>6.8772659999999999E-3</v>
      </c>
      <c r="R2">
        <v>1.8508153999999999E-2</v>
      </c>
      <c r="S2">
        <v>1.4267887999999999E-2</v>
      </c>
      <c r="T2">
        <v>1.2694359000000001E-2</v>
      </c>
      <c r="U2">
        <v>1.0947798E-2</v>
      </c>
      <c r="V2">
        <v>1.7665538000000001E-2</v>
      </c>
      <c r="W2">
        <v>8.4996010000000007E-3</v>
      </c>
      <c r="X2">
        <v>1.2379060000000001E-2</v>
      </c>
      <c r="Y2">
        <v>1.7480347E-2</v>
      </c>
      <c r="Z2">
        <v>1.5873594000000001E-2</v>
      </c>
      <c r="AB2">
        <v>0.04</v>
      </c>
      <c r="AC2">
        <v>1</v>
      </c>
    </row>
    <row r="3" spans="1:29" x14ac:dyDescent="0.2">
      <c r="A3" t="s">
        <v>1</v>
      </c>
      <c r="B3">
        <v>1.1484558000000001E-2</v>
      </c>
      <c r="C3">
        <v>4.2999701000000001E-2</v>
      </c>
      <c r="D3">
        <v>1.1263903E-2</v>
      </c>
      <c r="E3">
        <v>1.2521071999999999E-2</v>
      </c>
      <c r="F3">
        <v>1.1037646999999999E-2</v>
      </c>
      <c r="G3">
        <v>6.8283659999999998E-3</v>
      </c>
      <c r="H3">
        <v>1.1370447000000001E-2</v>
      </c>
      <c r="I3">
        <v>1.379623E-2</v>
      </c>
      <c r="J3">
        <v>1.1402361E-2</v>
      </c>
      <c r="K3">
        <v>9.2278780000000001E-3</v>
      </c>
      <c r="L3">
        <v>1.3389317E-2</v>
      </c>
      <c r="M3">
        <v>9.4890830000000006E-3</v>
      </c>
      <c r="N3">
        <v>9.5118640000000001E-3</v>
      </c>
      <c r="O3">
        <v>9.4450660000000002E-3</v>
      </c>
      <c r="P3">
        <v>7.9634219999999995E-3</v>
      </c>
      <c r="Q3">
        <v>5.5859569999999999E-3</v>
      </c>
      <c r="R3">
        <v>1.1734583E-2</v>
      </c>
      <c r="S3">
        <v>1.083219E-2</v>
      </c>
      <c r="T3">
        <v>9.3394289999999998E-3</v>
      </c>
      <c r="U3">
        <v>8.1760359999999994E-3</v>
      </c>
      <c r="V3">
        <v>1.2795332E-2</v>
      </c>
      <c r="W3">
        <v>6.6481750000000001E-3</v>
      </c>
      <c r="X3">
        <v>9.2613230000000001E-3</v>
      </c>
      <c r="Y3">
        <v>1.1295690000000001E-2</v>
      </c>
      <c r="Z3">
        <v>1.1222357000000001E-2</v>
      </c>
      <c r="AB3">
        <v>0.04</v>
      </c>
      <c r="AC3">
        <v>2</v>
      </c>
    </row>
    <row r="4" spans="1:29" x14ac:dyDescent="0.2">
      <c r="A4" t="s">
        <v>2</v>
      </c>
      <c r="B4">
        <v>1.5073507999999999E-2</v>
      </c>
      <c r="C4">
        <v>1.1263903E-2</v>
      </c>
      <c r="D4">
        <v>4.4410461999999998E-2</v>
      </c>
      <c r="E4">
        <v>1.7529769000000001E-2</v>
      </c>
      <c r="F4">
        <v>1.4933154000000001E-2</v>
      </c>
      <c r="G4">
        <v>8.9398870000000005E-3</v>
      </c>
      <c r="H4">
        <v>1.5734531999999999E-2</v>
      </c>
      <c r="I4">
        <v>2.0566745000000001E-2</v>
      </c>
      <c r="J4">
        <v>1.6765188E-2</v>
      </c>
      <c r="K4">
        <v>1.2484011999999999E-2</v>
      </c>
      <c r="L4">
        <v>1.7664776E-2</v>
      </c>
      <c r="M4">
        <v>1.3423829999999999E-2</v>
      </c>
      <c r="N4">
        <v>1.2908685E-2</v>
      </c>
      <c r="O4">
        <v>1.2562039000000001E-2</v>
      </c>
      <c r="P4">
        <v>1.0063574E-2</v>
      </c>
      <c r="Q4">
        <v>7.0030630000000003E-3</v>
      </c>
      <c r="R4">
        <v>1.6366851000000002E-2</v>
      </c>
      <c r="S4">
        <v>1.4338780000000001E-2</v>
      </c>
      <c r="T4">
        <v>1.2672320000000001E-2</v>
      </c>
      <c r="U4">
        <v>1.2705374E-2</v>
      </c>
      <c r="V4">
        <v>1.7448405E-2</v>
      </c>
      <c r="W4">
        <v>8.0126929999999996E-3</v>
      </c>
      <c r="X4">
        <v>1.1332904E-2</v>
      </c>
      <c r="Y4">
        <v>1.5340001000000001E-2</v>
      </c>
      <c r="Z4">
        <v>1.5411647000000001E-2</v>
      </c>
      <c r="AB4">
        <v>0.04</v>
      </c>
      <c r="AC4">
        <v>3</v>
      </c>
    </row>
    <row r="5" spans="1:29" x14ac:dyDescent="0.2">
      <c r="A5" t="s">
        <v>3</v>
      </c>
      <c r="B5">
        <v>1.7006291E-2</v>
      </c>
      <c r="C5">
        <v>1.2521071999999999E-2</v>
      </c>
      <c r="D5">
        <v>1.7529769000000001E-2</v>
      </c>
      <c r="E5">
        <v>4.9189314999999997E-2</v>
      </c>
      <c r="F5">
        <v>1.6771273999999999E-2</v>
      </c>
      <c r="G5">
        <v>9.9560359999999997E-3</v>
      </c>
      <c r="H5">
        <v>1.7689013E-2</v>
      </c>
      <c r="I5">
        <v>2.3247451999999998E-2</v>
      </c>
      <c r="J5">
        <v>1.9109977E-2</v>
      </c>
      <c r="K5">
        <v>1.4048568000000001E-2</v>
      </c>
      <c r="L5">
        <v>2.0364139E-2</v>
      </c>
      <c r="M5">
        <v>1.52652E-2</v>
      </c>
      <c r="N5">
        <v>1.4544969E-2</v>
      </c>
      <c r="O5">
        <v>1.4174340000000001E-2</v>
      </c>
      <c r="P5">
        <v>1.1144744E-2</v>
      </c>
      <c r="Q5">
        <v>7.7264040000000001E-3</v>
      </c>
      <c r="R5">
        <v>1.8889063000000001E-2</v>
      </c>
      <c r="S5">
        <v>1.6081899E-2</v>
      </c>
      <c r="T5">
        <v>1.4315746000000001E-2</v>
      </c>
      <c r="U5">
        <v>1.4592612E-2</v>
      </c>
      <c r="V5">
        <v>1.9760361000000001E-2</v>
      </c>
      <c r="W5">
        <v>8.8200180000000006E-3</v>
      </c>
      <c r="X5">
        <v>1.2576311999999999E-2</v>
      </c>
      <c r="Y5">
        <v>1.7604024999999999E-2</v>
      </c>
      <c r="Z5">
        <v>1.7519578000000001E-2</v>
      </c>
      <c r="AB5">
        <v>0.04</v>
      </c>
      <c r="AC5">
        <v>4</v>
      </c>
    </row>
    <row r="6" spans="1:29" x14ac:dyDescent="0.2">
      <c r="A6" t="s">
        <v>4</v>
      </c>
      <c r="B6">
        <v>1.4288515999999999E-2</v>
      </c>
      <c r="C6">
        <v>1.1037646999999999E-2</v>
      </c>
      <c r="D6">
        <v>1.4933154000000001E-2</v>
      </c>
      <c r="E6">
        <v>1.6771273999999999E-2</v>
      </c>
      <c r="F6">
        <v>4.1702840999999997E-2</v>
      </c>
      <c r="G6">
        <v>8.8337369999999995E-3</v>
      </c>
      <c r="H6">
        <v>1.5441902E-2</v>
      </c>
      <c r="I6">
        <v>2.0427667E-2</v>
      </c>
      <c r="J6">
        <v>1.6111365999999998E-2</v>
      </c>
      <c r="K6">
        <v>1.2096318999999999E-2</v>
      </c>
      <c r="L6">
        <v>1.5552655E-2</v>
      </c>
      <c r="M6">
        <v>1.2800272999999999E-2</v>
      </c>
      <c r="N6">
        <v>1.2472197000000001E-2</v>
      </c>
      <c r="O6">
        <v>1.1974423E-2</v>
      </c>
      <c r="P6">
        <v>9.9659359999999999E-3</v>
      </c>
      <c r="Q6">
        <v>6.9924239999999997E-3</v>
      </c>
      <c r="R6">
        <v>1.4727825999999999E-2</v>
      </c>
      <c r="S6">
        <v>1.3914826999999999E-2</v>
      </c>
      <c r="T6">
        <v>1.2137656E-2</v>
      </c>
      <c r="U6">
        <v>1.2159328E-2</v>
      </c>
      <c r="V6">
        <v>1.6608996000000001E-2</v>
      </c>
      <c r="W6">
        <v>7.913359E-3</v>
      </c>
      <c r="X6">
        <v>1.0984291E-2</v>
      </c>
      <c r="Y6">
        <v>1.391967E-2</v>
      </c>
      <c r="Z6">
        <v>1.4528236999999999E-2</v>
      </c>
      <c r="AB6">
        <v>0.04</v>
      </c>
      <c r="AC6">
        <v>5</v>
      </c>
    </row>
    <row r="7" spans="1:29" x14ac:dyDescent="0.2">
      <c r="A7" t="s">
        <v>5</v>
      </c>
      <c r="B7">
        <v>8.5739309999999999E-3</v>
      </c>
      <c r="C7">
        <v>6.8283659999999998E-3</v>
      </c>
      <c r="D7">
        <v>8.9398870000000005E-3</v>
      </c>
      <c r="E7">
        <v>9.9560359999999997E-3</v>
      </c>
      <c r="F7">
        <v>8.8337369999999995E-3</v>
      </c>
      <c r="G7">
        <v>2.8736925E-2</v>
      </c>
      <c r="H7">
        <v>9.3510520000000003E-3</v>
      </c>
      <c r="I7">
        <v>1.2249848000000001E-2</v>
      </c>
      <c r="J7">
        <v>9.4771969999999997E-3</v>
      </c>
      <c r="K7">
        <v>7.3057189999999996E-3</v>
      </c>
      <c r="L7">
        <v>8.8424109999999997E-3</v>
      </c>
      <c r="M7">
        <v>7.5612500000000003E-3</v>
      </c>
      <c r="N7">
        <v>7.5125890000000001E-3</v>
      </c>
      <c r="O7">
        <v>7.1863710000000004E-3</v>
      </c>
      <c r="P7">
        <v>6.2104170000000002E-3</v>
      </c>
      <c r="Q7">
        <v>4.387981E-3</v>
      </c>
      <c r="R7">
        <v>8.3743129999999995E-3</v>
      </c>
      <c r="S7">
        <v>8.4597860000000004E-3</v>
      </c>
      <c r="T7">
        <v>7.2692859999999998E-3</v>
      </c>
      <c r="U7">
        <v>7.0373629999999996E-3</v>
      </c>
      <c r="V7">
        <v>9.892863E-3</v>
      </c>
      <c r="W7">
        <v>4.9855979999999999E-3</v>
      </c>
      <c r="X7">
        <v>6.8147720000000002E-3</v>
      </c>
      <c r="Y7">
        <v>8.0249989999999997E-3</v>
      </c>
      <c r="Z7">
        <v>8.5800809999999998E-3</v>
      </c>
      <c r="AB7">
        <v>0.04</v>
      </c>
      <c r="AC7">
        <v>6</v>
      </c>
    </row>
    <row r="8" spans="1:29" x14ac:dyDescent="0.2">
      <c r="A8" t="s">
        <v>6</v>
      </c>
      <c r="B8">
        <v>1.4396213E-2</v>
      </c>
      <c r="C8">
        <v>1.1370447000000001E-2</v>
      </c>
      <c r="D8">
        <v>1.5734531999999999E-2</v>
      </c>
      <c r="E8">
        <v>1.7689013E-2</v>
      </c>
      <c r="F8">
        <v>1.5441902E-2</v>
      </c>
      <c r="G8">
        <v>9.3510520000000003E-3</v>
      </c>
      <c r="H8">
        <v>5.0373813000000003E-2</v>
      </c>
      <c r="I8">
        <v>2.3111368E-2</v>
      </c>
      <c r="J8">
        <v>1.7488133999999999E-2</v>
      </c>
      <c r="K8">
        <v>1.2726790999999999E-2</v>
      </c>
      <c r="L8">
        <v>1.4184054999999999E-2</v>
      </c>
      <c r="M8">
        <v>1.3518128000000001E-2</v>
      </c>
      <c r="N8">
        <v>1.3099230999999999E-2</v>
      </c>
      <c r="O8">
        <v>1.2239831E-2</v>
      </c>
      <c r="P8">
        <v>1.0380172E-2</v>
      </c>
      <c r="Q8">
        <v>7.3234349999999997E-3</v>
      </c>
      <c r="R8">
        <v>1.434768E-2</v>
      </c>
      <c r="S8">
        <v>1.4501042E-2</v>
      </c>
      <c r="T8">
        <v>1.2614465E-2</v>
      </c>
      <c r="U8">
        <v>1.3467321000000001E-2</v>
      </c>
      <c r="V8">
        <v>1.7177246E-2</v>
      </c>
      <c r="W8">
        <v>7.9968969999999993E-3</v>
      </c>
      <c r="X8">
        <v>1.0933399E-2</v>
      </c>
      <c r="Y8">
        <v>1.3502448E-2</v>
      </c>
      <c r="Z8">
        <v>1.4902575E-2</v>
      </c>
      <c r="AB8">
        <v>0.04</v>
      </c>
      <c r="AC8">
        <v>7</v>
      </c>
    </row>
    <row r="9" spans="1:29" x14ac:dyDescent="0.2">
      <c r="A9" t="s">
        <v>7</v>
      </c>
      <c r="B9">
        <v>1.6525015000000001E-2</v>
      </c>
      <c r="C9">
        <v>1.379623E-2</v>
      </c>
      <c r="D9">
        <v>2.0566745000000001E-2</v>
      </c>
      <c r="E9">
        <v>2.3247451999999998E-2</v>
      </c>
      <c r="F9">
        <v>2.0427667E-2</v>
      </c>
      <c r="G9">
        <v>1.2249848000000001E-2</v>
      </c>
      <c r="H9">
        <v>2.3111368E-2</v>
      </c>
      <c r="I9">
        <v>8.0008229E-2</v>
      </c>
      <c r="J9">
        <v>2.4757514000000001E-2</v>
      </c>
      <c r="K9">
        <v>1.6521503999999999E-2</v>
      </c>
      <c r="L9">
        <v>1.1288289E-2</v>
      </c>
      <c r="M9">
        <v>1.7854774E-2</v>
      </c>
      <c r="N9">
        <v>1.6940710000000001E-2</v>
      </c>
      <c r="O9">
        <v>1.4681994E-2</v>
      </c>
      <c r="P9">
        <v>1.296371E-2</v>
      </c>
      <c r="Q9">
        <v>9.2645120000000008E-3</v>
      </c>
      <c r="R9">
        <v>1.5050312E-2</v>
      </c>
      <c r="S9">
        <v>1.8300312999999999E-2</v>
      </c>
      <c r="T9">
        <v>1.5883161999999999E-2</v>
      </c>
      <c r="U9">
        <v>2.0053793E-2</v>
      </c>
      <c r="V9">
        <v>2.137505E-2</v>
      </c>
      <c r="W9">
        <v>9.0834869999999995E-3</v>
      </c>
      <c r="X9">
        <v>1.1895149000000001E-2</v>
      </c>
      <c r="Y9">
        <v>1.3863851999999999E-2</v>
      </c>
      <c r="Z9">
        <v>1.8169238000000001E-2</v>
      </c>
      <c r="AB9">
        <v>0.04</v>
      </c>
      <c r="AC9">
        <v>8</v>
      </c>
    </row>
    <row r="10" spans="1:29" x14ac:dyDescent="0.2">
      <c r="A10" t="s">
        <v>8</v>
      </c>
      <c r="B10">
        <v>1.5196238000000001E-2</v>
      </c>
      <c r="C10">
        <v>1.1402361E-2</v>
      </c>
      <c r="D10">
        <v>1.6765188E-2</v>
      </c>
      <c r="E10">
        <v>1.9109977E-2</v>
      </c>
      <c r="F10">
        <v>1.6111365999999998E-2</v>
      </c>
      <c r="G10">
        <v>9.4771969999999997E-3</v>
      </c>
      <c r="H10">
        <v>1.7488133999999999E-2</v>
      </c>
      <c r="I10">
        <v>2.4757514000000001E-2</v>
      </c>
      <c r="J10">
        <v>4.7500506999999997E-2</v>
      </c>
      <c r="K10">
        <v>1.3360161000000001E-2</v>
      </c>
      <c r="L10">
        <v>1.6286947999999999E-2</v>
      </c>
      <c r="M10">
        <v>1.4721553E-2</v>
      </c>
      <c r="N10">
        <v>1.3810118E-2</v>
      </c>
      <c r="O10">
        <v>1.2940202E-2</v>
      </c>
      <c r="P10">
        <v>1.0291391E-2</v>
      </c>
      <c r="Q10">
        <v>7.1744640000000002E-3</v>
      </c>
      <c r="R10">
        <v>1.6509431000000001E-2</v>
      </c>
      <c r="S10">
        <v>1.5031246999999999E-2</v>
      </c>
      <c r="T10">
        <v>1.3410089E-2</v>
      </c>
      <c r="U10">
        <v>1.5177207999999999E-2</v>
      </c>
      <c r="V10">
        <v>1.841775E-2</v>
      </c>
      <c r="W10">
        <v>7.7125079999999999E-3</v>
      </c>
      <c r="X10">
        <v>1.0833048E-2</v>
      </c>
      <c r="Y10">
        <v>1.5194439000000001E-2</v>
      </c>
      <c r="Z10">
        <v>1.6191100999999999E-2</v>
      </c>
      <c r="AB10">
        <v>0.04</v>
      </c>
      <c r="AC10">
        <v>9</v>
      </c>
    </row>
    <row r="11" spans="1:29" x14ac:dyDescent="0.2">
      <c r="A11" t="s">
        <v>9</v>
      </c>
      <c r="B11">
        <v>1.2164378E-2</v>
      </c>
      <c r="C11">
        <v>9.2278780000000001E-3</v>
      </c>
      <c r="D11">
        <v>1.2484011999999999E-2</v>
      </c>
      <c r="E11">
        <v>1.4048568000000001E-2</v>
      </c>
      <c r="F11">
        <v>1.2096318999999999E-2</v>
      </c>
      <c r="G11">
        <v>7.3057189999999996E-3</v>
      </c>
      <c r="H11">
        <v>1.2726790999999999E-2</v>
      </c>
      <c r="I11">
        <v>1.6521503999999999E-2</v>
      </c>
      <c r="J11">
        <v>1.3360161000000001E-2</v>
      </c>
      <c r="K11">
        <v>6.0673428000000001E-2</v>
      </c>
      <c r="L11">
        <v>1.3950921E-2</v>
      </c>
      <c r="M11">
        <v>1.0731345999999999E-2</v>
      </c>
      <c r="N11">
        <v>1.0422692000000001E-2</v>
      </c>
      <c r="O11">
        <v>1.0133469000000001E-2</v>
      </c>
      <c r="P11">
        <v>8.2744640000000005E-3</v>
      </c>
      <c r="Q11">
        <v>5.7793760000000001E-3</v>
      </c>
      <c r="R11">
        <v>1.2894783999999999E-2</v>
      </c>
      <c r="S11">
        <v>1.1635776E-2</v>
      </c>
      <c r="T11">
        <v>1.020601E-2</v>
      </c>
      <c r="U11">
        <v>1.0036688E-2</v>
      </c>
      <c r="V11">
        <v>1.4016733999999999E-2</v>
      </c>
      <c r="W11">
        <v>6.6329930000000002E-3</v>
      </c>
      <c r="X11">
        <v>9.3072239999999994E-3</v>
      </c>
      <c r="Y11">
        <v>1.2162709000000001E-2</v>
      </c>
      <c r="Z11">
        <v>1.2332696000000001E-2</v>
      </c>
      <c r="AB11">
        <v>0.04</v>
      </c>
      <c r="AC11">
        <v>10</v>
      </c>
    </row>
    <row r="12" spans="1:29" x14ac:dyDescent="0.2">
      <c r="A12" t="s">
        <v>10</v>
      </c>
      <c r="B12">
        <v>2.2022389E-2</v>
      </c>
      <c r="C12">
        <v>1.3389317E-2</v>
      </c>
      <c r="D12">
        <v>1.7664776E-2</v>
      </c>
      <c r="E12">
        <v>2.0364139E-2</v>
      </c>
      <c r="F12">
        <v>1.5552655E-2</v>
      </c>
      <c r="G12">
        <v>8.8424109999999997E-3</v>
      </c>
      <c r="H12">
        <v>1.4184054999999999E-2</v>
      </c>
      <c r="I12">
        <v>1.1288289E-2</v>
      </c>
      <c r="J12">
        <v>1.6286947999999999E-2</v>
      </c>
      <c r="K12">
        <v>1.3950921E-2</v>
      </c>
      <c r="L12">
        <v>0.16642889799999999</v>
      </c>
      <c r="M12">
        <v>1.5699439999999999E-2</v>
      </c>
      <c r="N12">
        <v>1.4728309E-2</v>
      </c>
      <c r="O12">
        <v>1.7044930999999999E-2</v>
      </c>
      <c r="P12">
        <v>1.0821694999999999E-2</v>
      </c>
      <c r="Q12">
        <v>7.0277580000000003E-3</v>
      </c>
      <c r="R12">
        <v>3.0299209000000001E-2</v>
      </c>
      <c r="S12">
        <v>1.6720395999999998E-2</v>
      </c>
      <c r="T12">
        <v>1.5732393000000001E-2</v>
      </c>
      <c r="U12">
        <v>1.1049302E-2</v>
      </c>
      <c r="V12">
        <v>2.2632334E-2</v>
      </c>
      <c r="W12">
        <v>1.0128401E-2</v>
      </c>
      <c r="X12">
        <v>1.6230772000000001E-2</v>
      </c>
      <c r="Y12">
        <v>2.8228306000000002E-2</v>
      </c>
      <c r="Z12">
        <v>2.1360833999999999E-2</v>
      </c>
      <c r="AB12">
        <v>0.04</v>
      </c>
      <c r="AC12">
        <v>11</v>
      </c>
    </row>
    <row r="13" spans="1:29" x14ac:dyDescent="0.2">
      <c r="A13" t="s">
        <v>11</v>
      </c>
      <c r="B13">
        <v>1.2989624999999999E-2</v>
      </c>
      <c r="C13">
        <v>9.4890830000000006E-3</v>
      </c>
      <c r="D13">
        <v>1.3423829999999999E-2</v>
      </c>
      <c r="E13">
        <v>1.52652E-2</v>
      </c>
      <c r="F13">
        <v>1.2800272999999999E-2</v>
      </c>
      <c r="G13">
        <v>7.5612500000000003E-3</v>
      </c>
      <c r="H13">
        <v>1.3518128000000001E-2</v>
      </c>
      <c r="I13">
        <v>1.7854774E-2</v>
      </c>
      <c r="J13">
        <v>1.4721553E-2</v>
      </c>
      <c r="K13">
        <v>1.0731345999999999E-2</v>
      </c>
      <c r="L13">
        <v>1.5699439999999999E-2</v>
      </c>
      <c r="M13">
        <v>4.6404560999999997E-2</v>
      </c>
      <c r="N13">
        <v>1.1117919E-2</v>
      </c>
      <c r="O13">
        <v>1.0832688E-2</v>
      </c>
      <c r="P13">
        <v>8.4308830000000001E-3</v>
      </c>
      <c r="Q13">
        <v>5.8332619999999996E-3</v>
      </c>
      <c r="R13">
        <v>1.4599045E-2</v>
      </c>
      <c r="S13">
        <v>1.225651E-2</v>
      </c>
      <c r="T13">
        <v>1.0954731000000001E-2</v>
      </c>
      <c r="U13">
        <v>1.1297681E-2</v>
      </c>
      <c r="V13">
        <v>1.5139929E-2</v>
      </c>
      <c r="W13">
        <v>6.6406089999999996E-3</v>
      </c>
      <c r="X13">
        <v>9.5093629999999998E-3</v>
      </c>
      <c r="Y13">
        <v>1.3560801000000001E-2</v>
      </c>
      <c r="Z13">
        <v>1.3448009E-2</v>
      </c>
      <c r="AB13">
        <v>0.04</v>
      </c>
      <c r="AC13">
        <v>12</v>
      </c>
    </row>
    <row r="14" spans="1:29" x14ac:dyDescent="0.2">
      <c r="A14" t="s">
        <v>12</v>
      </c>
      <c r="B14">
        <v>1.2630687E-2</v>
      </c>
      <c r="C14">
        <v>9.5118640000000001E-3</v>
      </c>
      <c r="D14">
        <v>1.2908685E-2</v>
      </c>
      <c r="E14">
        <v>1.4544969E-2</v>
      </c>
      <c r="F14">
        <v>1.2472197000000001E-2</v>
      </c>
      <c r="G14">
        <v>7.5125890000000001E-3</v>
      </c>
      <c r="H14">
        <v>1.3099230999999999E-2</v>
      </c>
      <c r="I14">
        <v>1.6940710000000001E-2</v>
      </c>
      <c r="J14">
        <v>1.3810118E-2</v>
      </c>
      <c r="K14">
        <v>1.0422692000000001E-2</v>
      </c>
      <c r="L14">
        <v>1.4728309E-2</v>
      </c>
      <c r="M14">
        <v>1.1117919E-2</v>
      </c>
      <c r="N14">
        <v>5.7104507999999998E-2</v>
      </c>
      <c r="O14">
        <v>1.0506725999999999E-2</v>
      </c>
      <c r="P14">
        <v>8.5083220000000005E-3</v>
      </c>
      <c r="Q14">
        <v>5.9317909999999996E-3</v>
      </c>
      <c r="R14">
        <v>1.3540416E-2</v>
      </c>
      <c r="S14">
        <v>1.2014726E-2</v>
      </c>
      <c r="T14">
        <v>1.0567653E-2</v>
      </c>
      <c r="U14">
        <v>1.0378722E-2</v>
      </c>
      <c r="V14">
        <v>1.4533574E-2</v>
      </c>
      <c r="W14">
        <v>6.8292259999999999E-3</v>
      </c>
      <c r="X14">
        <v>9.6226279999999994E-3</v>
      </c>
      <c r="Y14">
        <v>1.2750897000000001E-2</v>
      </c>
      <c r="Z14">
        <v>1.281536E-2</v>
      </c>
      <c r="AB14">
        <v>0.04</v>
      </c>
      <c r="AC14">
        <v>13</v>
      </c>
    </row>
    <row r="15" spans="1:29" x14ac:dyDescent="0.2">
      <c r="A15" t="s">
        <v>13</v>
      </c>
      <c r="B15">
        <v>1.3026874000000001E-2</v>
      </c>
      <c r="C15">
        <v>9.4450660000000002E-3</v>
      </c>
      <c r="D15">
        <v>1.2562039000000001E-2</v>
      </c>
      <c r="E15">
        <v>1.4174340000000001E-2</v>
      </c>
      <c r="F15">
        <v>1.1974423E-2</v>
      </c>
      <c r="G15">
        <v>7.1863710000000004E-3</v>
      </c>
      <c r="H15">
        <v>1.2239831E-2</v>
      </c>
      <c r="I15">
        <v>1.4681994E-2</v>
      </c>
      <c r="J15">
        <v>1.2940202E-2</v>
      </c>
      <c r="K15">
        <v>1.0133469000000001E-2</v>
      </c>
      <c r="L15">
        <v>1.7044930999999999E-2</v>
      </c>
      <c r="M15">
        <v>1.0832688E-2</v>
      </c>
      <c r="N15">
        <v>1.0506725999999999E-2</v>
      </c>
      <c r="O15">
        <v>2.0000002999999999E-2</v>
      </c>
      <c r="P15">
        <v>8.3002260000000008E-3</v>
      </c>
      <c r="Q15">
        <v>5.7266840000000001E-3</v>
      </c>
      <c r="R15">
        <v>1.4709656999999999E-2</v>
      </c>
      <c r="S15">
        <v>1.1812018000000001E-2</v>
      </c>
      <c r="T15">
        <v>1.0479732E-2</v>
      </c>
      <c r="U15">
        <v>9.4740680000000004E-3</v>
      </c>
      <c r="V15">
        <v>1.4532249000000001E-2</v>
      </c>
      <c r="W15">
        <v>6.9135780000000001E-3</v>
      </c>
      <c r="X15">
        <v>9.9745279999999999E-3</v>
      </c>
      <c r="Y15">
        <v>1.3870406E-2</v>
      </c>
      <c r="Z15">
        <v>1.2984974E-2</v>
      </c>
      <c r="AB15">
        <v>0.04</v>
      </c>
      <c r="AC15">
        <v>14</v>
      </c>
    </row>
    <row r="16" spans="1:29" x14ac:dyDescent="0.2">
      <c r="A16" t="s">
        <v>14</v>
      </c>
      <c r="B16">
        <v>1.0012559000000001E-2</v>
      </c>
      <c r="C16">
        <v>7.9634219999999995E-3</v>
      </c>
      <c r="D16">
        <v>1.0063574E-2</v>
      </c>
      <c r="E16">
        <v>1.1144744E-2</v>
      </c>
      <c r="F16">
        <v>9.9659359999999999E-3</v>
      </c>
      <c r="G16">
        <v>6.2104170000000002E-3</v>
      </c>
      <c r="H16">
        <v>1.0380172E-2</v>
      </c>
      <c r="I16">
        <v>1.296371E-2</v>
      </c>
      <c r="J16">
        <v>1.0291391E-2</v>
      </c>
      <c r="K16">
        <v>8.2744640000000005E-3</v>
      </c>
      <c r="L16">
        <v>1.0821694999999999E-2</v>
      </c>
      <c r="M16">
        <v>8.4308830000000001E-3</v>
      </c>
      <c r="N16">
        <v>8.5083220000000005E-3</v>
      </c>
      <c r="O16">
        <v>8.3002260000000008E-3</v>
      </c>
      <c r="P16">
        <v>1.945115E-2</v>
      </c>
      <c r="Q16">
        <v>5.0907019999999999E-3</v>
      </c>
      <c r="R16">
        <v>9.7652720000000002E-3</v>
      </c>
      <c r="S16">
        <v>9.6899499999999993E-3</v>
      </c>
      <c r="T16">
        <v>8.2771019999999997E-3</v>
      </c>
      <c r="U16">
        <v>7.4223680000000004E-3</v>
      </c>
      <c r="V16">
        <v>1.1275228E-2</v>
      </c>
      <c r="W16">
        <v>5.949635E-3</v>
      </c>
      <c r="X16">
        <v>8.1609860000000003E-3</v>
      </c>
      <c r="Y16">
        <v>9.4538650000000005E-3</v>
      </c>
      <c r="Z16">
        <v>9.7984189999999992E-3</v>
      </c>
      <c r="AB16">
        <v>0.04</v>
      </c>
      <c r="AC16">
        <v>15</v>
      </c>
    </row>
    <row r="17" spans="1:39" x14ac:dyDescent="0.2">
      <c r="A17" t="s">
        <v>15</v>
      </c>
      <c r="B17">
        <v>6.8772659999999999E-3</v>
      </c>
      <c r="C17">
        <v>5.5859569999999999E-3</v>
      </c>
      <c r="D17">
        <v>7.0030630000000003E-3</v>
      </c>
      <c r="E17">
        <v>7.7264040000000001E-3</v>
      </c>
      <c r="F17">
        <v>6.9924239999999997E-3</v>
      </c>
      <c r="G17">
        <v>4.387981E-3</v>
      </c>
      <c r="H17">
        <v>7.3234349999999997E-3</v>
      </c>
      <c r="I17">
        <v>9.2645120000000008E-3</v>
      </c>
      <c r="J17">
        <v>7.1744640000000002E-3</v>
      </c>
      <c r="K17">
        <v>5.7793760000000001E-3</v>
      </c>
      <c r="L17">
        <v>7.0277580000000003E-3</v>
      </c>
      <c r="M17">
        <v>5.8332619999999996E-3</v>
      </c>
      <c r="N17">
        <v>5.9317909999999996E-3</v>
      </c>
      <c r="O17">
        <v>5.7266840000000001E-3</v>
      </c>
      <c r="P17">
        <v>5.0907019999999999E-3</v>
      </c>
      <c r="Q17">
        <v>1.9632863E-2</v>
      </c>
      <c r="R17">
        <v>6.4555020000000001E-3</v>
      </c>
      <c r="S17">
        <v>6.7679089999999999E-3</v>
      </c>
      <c r="T17">
        <v>5.7350980000000001E-3</v>
      </c>
      <c r="U17">
        <v>5.1714609999999996E-3</v>
      </c>
      <c r="V17">
        <v>7.7794040000000002E-3</v>
      </c>
      <c r="W17">
        <v>4.1828660000000004E-3</v>
      </c>
      <c r="X17">
        <v>5.6738229999999997E-3</v>
      </c>
      <c r="Y17">
        <v>6.2902610000000001E-3</v>
      </c>
      <c r="Z17">
        <v>6.7143009999999998E-3</v>
      </c>
      <c r="AB17">
        <v>0.04</v>
      </c>
      <c r="AC17">
        <v>16</v>
      </c>
    </row>
    <row r="18" spans="1:39" x14ac:dyDescent="0.2">
      <c r="A18" t="s">
        <v>16</v>
      </c>
      <c r="B18">
        <v>1.8508153999999999E-2</v>
      </c>
      <c r="C18">
        <v>1.1734583E-2</v>
      </c>
      <c r="D18">
        <v>1.6366851000000002E-2</v>
      </c>
      <c r="E18">
        <v>1.8889063000000001E-2</v>
      </c>
      <c r="F18">
        <v>1.4727825999999999E-2</v>
      </c>
      <c r="G18">
        <v>8.3743129999999995E-3</v>
      </c>
      <c r="H18">
        <v>1.434768E-2</v>
      </c>
      <c r="I18">
        <v>1.5050312E-2</v>
      </c>
      <c r="J18">
        <v>1.6509431000000001E-2</v>
      </c>
      <c r="K18">
        <v>1.2894783999999999E-2</v>
      </c>
      <c r="L18">
        <v>3.0299209000000001E-2</v>
      </c>
      <c r="M18">
        <v>1.4599045E-2</v>
      </c>
      <c r="N18">
        <v>1.3540416E-2</v>
      </c>
      <c r="O18">
        <v>1.4709656999999999E-2</v>
      </c>
      <c r="P18">
        <v>9.7652720000000002E-3</v>
      </c>
      <c r="Q18">
        <v>6.4555020000000001E-3</v>
      </c>
      <c r="R18">
        <v>4.6550679999999997E-2</v>
      </c>
      <c r="S18">
        <v>1.5074436E-2</v>
      </c>
      <c r="T18">
        <v>1.4073456E-2</v>
      </c>
      <c r="U18">
        <v>1.2044150999999999E-2</v>
      </c>
      <c r="V18">
        <v>2.0018623999999999E-2</v>
      </c>
      <c r="W18">
        <v>8.4874570000000003E-3</v>
      </c>
      <c r="X18">
        <v>1.3274078E-2</v>
      </c>
      <c r="Y18">
        <v>2.2682687E-2</v>
      </c>
      <c r="Z18">
        <v>1.8579155999999999E-2</v>
      </c>
      <c r="AB18">
        <v>0.04</v>
      </c>
      <c r="AC18">
        <v>17</v>
      </c>
    </row>
    <row r="19" spans="1:39" x14ac:dyDescent="0.2">
      <c r="A19" t="s">
        <v>17</v>
      </c>
      <c r="B19">
        <v>1.4267887999999999E-2</v>
      </c>
      <c r="C19">
        <v>1.083219E-2</v>
      </c>
      <c r="D19">
        <v>1.4338780000000001E-2</v>
      </c>
      <c r="E19">
        <v>1.6081899E-2</v>
      </c>
      <c r="F19">
        <v>1.3914826999999999E-2</v>
      </c>
      <c r="G19">
        <v>8.4597860000000004E-3</v>
      </c>
      <c r="H19">
        <v>1.4501042E-2</v>
      </c>
      <c r="I19">
        <v>1.8300312999999999E-2</v>
      </c>
      <c r="J19">
        <v>1.5031246999999999E-2</v>
      </c>
      <c r="K19">
        <v>1.1635776E-2</v>
      </c>
      <c r="L19">
        <v>1.6720395999999998E-2</v>
      </c>
      <c r="M19">
        <v>1.225651E-2</v>
      </c>
      <c r="N19">
        <v>1.2014726E-2</v>
      </c>
      <c r="O19">
        <v>1.1812018000000001E-2</v>
      </c>
      <c r="P19">
        <v>9.6899499999999993E-3</v>
      </c>
      <c r="Q19">
        <v>6.7679089999999999E-3</v>
      </c>
      <c r="R19">
        <v>1.5074436E-2</v>
      </c>
      <c r="S19">
        <v>3.3584850999999999E-2</v>
      </c>
      <c r="T19">
        <v>1.1799504000000001E-2</v>
      </c>
      <c r="U19">
        <v>1.1111434999999999E-2</v>
      </c>
      <c r="V19">
        <v>1.6211475999999999E-2</v>
      </c>
      <c r="W19">
        <v>7.9022469999999994E-3</v>
      </c>
      <c r="X19">
        <v>1.1098227E-2</v>
      </c>
      <c r="Y19">
        <v>1.4304641999999999E-2</v>
      </c>
      <c r="Z19">
        <v>1.4276027E-2</v>
      </c>
      <c r="AB19">
        <v>0.04</v>
      </c>
      <c r="AC19">
        <v>18</v>
      </c>
    </row>
    <row r="20" spans="1:39" x14ac:dyDescent="0.2">
      <c r="A20" t="s">
        <v>18</v>
      </c>
      <c r="B20">
        <v>1.2694359000000001E-2</v>
      </c>
      <c r="C20">
        <v>9.3394289999999998E-3</v>
      </c>
      <c r="D20">
        <v>1.2672320000000001E-2</v>
      </c>
      <c r="E20">
        <v>1.4315746000000001E-2</v>
      </c>
      <c r="F20">
        <v>1.2137656E-2</v>
      </c>
      <c r="G20">
        <v>7.2692859999999998E-3</v>
      </c>
      <c r="H20">
        <v>1.2614465E-2</v>
      </c>
      <c r="I20">
        <v>1.5883161999999999E-2</v>
      </c>
      <c r="J20">
        <v>1.3410089E-2</v>
      </c>
      <c r="K20">
        <v>1.020601E-2</v>
      </c>
      <c r="L20">
        <v>1.5732393000000001E-2</v>
      </c>
      <c r="M20">
        <v>1.0954731000000001E-2</v>
      </c>
      <c r="N20">
        <v>1.0567653E-2</v>
      </c>
      <c r="O20">
        <v>1.0479732E-2</v>
      </c>
      <c r="P20">
        <v>8.2771019999999997E-3</v>
      </c>
      <c r="Q20">
        <v>5.7350980000000001E-3</v>
      </c>
      <c r="R20">
        <v>1.4073456E-2</v>
      </c>
      <c r="S20">
        <v>1.1799504000000001E-2</v>
      </c>
      <c r="T20">
        <v>3.5015797000000001E-2</v>
      </c>
      <c r="U20">
        <v>1.0014810000000001E-2</v>
      </c>
      <c r="V20">
        <v>1.4444339E-2</v>
      </c>
      <c r="W20">
        <v>6.7289020000000001E-3</v>
      </c>
      <c r="X20">
        <v>9.6149249999999999E-3</v>
      </c>
      <c r="Y20">
        <v>1.3223132E-2</v>
      </c>
      <c r="Z20">
        <v>1.2831832E-2</v>
      </c>
      <c r="AB20">
        <v>0.04</v>
      </c>
      <c r="AC20">
        <v>19</v>
      </c>
    </row>
    <row r="21" spans="1:39" x14ac:dyDescent="0.2">
      <c r="A21" t="s">
        <v>19</v>
      </c>
      <c r="B21">
        <v>1.0947798E-2</v>
      </c>
      <c r="C21">
        <v>8.1760359999999994E-3</v>
      </c>
      <c r="D21">
        <v>1.2705374E-2</v>
      </c>
      <c r="E21">
        <v>1.4592612E-2</v>
      </c>
      <c r="F21">
        <v>1.2159328E-2</v>
      </c>
      <c r="G21">
        <v>7.0373629999999996E-3</v>
      </c>
      <c r="H21">
        <v>1.3467321000000001E-2</v>
      </c>
      <c r="I21">
        <v>2.0053793E-2</v>
      </c>
      <c r="J21">
        <v>1.5177207999999999E-2</v>
      </c>
      <c r="K21">
        <v>1.0036688E-2</v>
      </c>
      <c r="L21">
        <v>1.1049302E-2</v>
      </c>
      <c r="M21">
        <v>1.1297681E-2</v>
      </c>
      <c r="N21">
        <v>1.0378722E-2</v>
      </c>
      <c r="O21">
        <v>9.4740680000000004E-3</v>
      </c>
      <c r="P21">
        <v>7.4223680000000004E-3</v>
      </c>
      <c r="Q21">
        <v>5.1714609999999996E-3</v>
      </c>
      <c r="R21">
        <v>1.2044150999999999E-2</v>
      </c>
      <c r="S21">
        <v>1.1111434999999999E-2</v>
      </c>
      <c r="T21">
        <v>1.0014810000000001E-2</v>
      </c>
      <c r="U21">
        <v>7.3253047000000002E-2</v>
      </c>
      <c r="V21">
        <v>1.3747206999999999E-2</v>
      </c>
      <c r="W21">
        <v>5.280791E-3</v>
      </c>
      <c r="X21">
        <v>7.4083389999999999E-3</v>
      </c>
      <c r="Y21">
        <v>1.0900241999999999E-2</v>
      </c>
      <c r="Z21">
        <v>1.2067761E-2</v>
      </c>
      <c r="AB21">
        <v>0.04</v>
      </c>
      <c r="AC21">
        <v>20</v>
      </c>
    </row>
    <row r="22" spans="1:39" x14ac:dyDescent="0.2">
      <c r="A22" t="s">
        <v>20</v>
      </c>
      <c r="B22">
        <v>1.7665538000000001E-2</v>
      </c>
      <c r="C22">
        <v>1.2795332E-2</v>
      </c>
      <c r="D22">
        <v>1.7448405E-2</v>
      </c>
      <c r="E22">
        <v>1.9760361000000001E-2</v>
      </c>
      <c r="F22">
        <v>1.6608996000000001E-2</v>
      </c>
      <c r="G22">
        <v>9.892863E-3</v>
      </c>
      <c r="H22">
        <v>1.7177246E-2</v>
      </c>
      <c r="I22">
        <v>2.137505E-2</v>
      </c>
      <c r="J22">
        <v>1.841775E-2</v>
      </c>
      <c r="K22">
        <v>1.4016733999999999E-2</v>
      </c>
      <c r="L22">
        <v>2.2632334E-2</v>
      </c>
      <c r="M22">
        <v>1.5139929E-2</v>
      </c>
      <c r="N22">
        <v>1.4533574E-2</v>
      </c>
      <c r="O22">
        <v>1.4532249000000001E-2</v>
      </c>
      <c r="P22">
        <v>1.1275228E-2</v>
      </c>
      <c r="Q22">
        <v>7.7794040000000002E-3</v>
      </c>
      <c r="R22">
        <v>2.0018623999999999E-2</v>
      </c>
      <c r="S22">
        <v>1.6211475999999999E-2</v>
      </c>
      <c r="T22">
        <v>1.4444339E-2</v>
      </c>
      <c r="U22">
        <v>1.3747206999999999E-2</v>
      </c>
      <c r="V22">
        <v>4.2639700000000003E-2</v>
      </c>
      <c r="W22">
        <v>9.2077789999999993E-3</v>
      </c>
      <c r="X22">
        <v>1.3278181E-2</v>
      </c>
      <c r="Y22">
        <v>1.8758911E-2</v>
      </c>
      <c r="Z22">
        <v>1.7866788000000002E-2</v>
      </c>
      <c r="AB22">
        <v>0.04</v>
      </c>
      <c r="AC22">
        <v>21</v>
      </c>
    </row>
    <row r="23" spans="1:39" x14ac:dyDescent="0.2">
      <c r="A23" t="s">
        <v>21</v>
      </c>
      <c r="B23">
        <v>8.4996010000000007E-3</v>
      </c>
      <c r="C23">
        <v>6.6481750000000001E-3</v>
      </c>
      <c r="D23">
        <v>8.0126929999999996E-3</v>
      </c>
      <c r="E23">
        <v>8.8200180000000006E-3</v>
      </c>
      <c r="F23">
        <v>7.913359E-3</v>
      </c>
      <c r="G23">
        <v>4.9855979999999999E-3</v>
      </c>
      <c r="H23">
        <v>7.9968969999999993E-3</v>
      </c>
      <c r="I23">
        <v>9.0834869999999995E-3</v>
      </c>
      <c r="J23">
        <v>7.7125079999999999E-3</v>
      </c>
      <c r="K23">
        <v>6.6329930000000002E-3</v>
      </c>
      <c r="L23">
        <v>1.0128401E-2</v>
      </c>
      <c r="M23">
        <v>6.6406089999999996E-3</v>
      </c>
      <c r="N23">
        <v>6.8292259999999999E-3</v>
      </c>
      <c r="O23">
        <v>6.9135780000000001E-3</v>
      </c>
      <c r="P23">
        <v>5.949635E-3</v>
      </c>
      <c r="Q23">
        <v>4.1828660000000004E-3</v>
      </c>
      <c r="R23">
        <v>8.4874570000000003E-3</v>
      </c>
      <c r="S23">
        <v>7.9022469999999994E-3</v>
      </c>
      <c r="T23">
        <v>6.7289020000000001E-3</v>
      </c>
      <c r="U23">
        <v>5.280791E-3</v>
      </c>
      <c r="V23">
        <v>9.2077789999999993E-3</v>
      </c>
      <c r="W23">
        <v>2.7936107000000002E-2</v>
      </c>
      <c r="X23">
        <v>7.1134869999999999E-3</v>
      </c>
      <c r="Y23">
        <v>8.2977439999999993E-3</v>
      </c>
      <c r="Z23">
        <v>8.0650670000000004E-3</v>
      </c>
      <c r="AB23">
        <v>0.04</v>
      </c>
      <c r="AC23">
        <v>22</v>
      </c>
    </row>
    <row r="24" spans="1:39" x14ac:dyDescent="0.2">
      <c r="A24" t="s">
        <v>22</v>
      </c>
      <c r="B24">
        <v>1.2379060000000001E-2</v>
      </c>
      <c r="C24">
        <v>9.2613230000000001E-3</v>
      </c>
      <c r="D24">
        <v>1.1332904E-2</v>
      </c>
      <c r="E24">
        <v>1.2576311999999999E-2</v>
      </c>
      <c r="F24">
        <v>1.0984291E-2</v>
      </c>
      <c r="G24">
        <v>6.8147720000000002E-3</v>
      </c>
      <c r="H24">
        <v>1.0933399E-2</v>
      </c>
      <c r="I24">
        <v>1.1895149000000001E-2</v>
      </c>
      <c r="J24">
        <v>1.0833048E-2</v>
      </c>
      <c r="K24">
        <v>9.3072239999999994E-3</v>
      </c>
      <c r="L24">
        <v>1.6230772000000001E-2</v>
      </c>
      <c r="M24">
        <v>9.5093629999999998E-3</v>
      </c>
      <c r="N24">
        <v>9.6226279999999994E-3</v>
      </c>
      <c r="O24">
        <v>9.9745279999999999E-3</v>
      </c>
      <c r="P24">
        <v>8.1609860000000003E-3</v>
      </c>
      <c r="Q24">
        <v>5.6738229999999997E-3</v>
      </c>
      <c r="R24">
        <v>1.3274078E-2</v>
      </c>
      <c r="S24">
        <v>1.1098227E-2</v>
      </c>
      <c r="T24">
        <v>9.6149249999999999E-3</v>
      </c>
      <c r="U24">
        <v>7.4083389999999999E-3</v>
      </c>
      <c r="V24">
        <v>1.3278181E-2</v>
      </c>
      <c r="W24">
        <v>7.1134869999999999E-3</v>
      </c>
      <c r="X24">
        <v>3.3945712000000003E-2</v>
      </c>
      <c r="Y24">
        <v>1.2823510999999999E-2</v>
      </c>
      <c r="Z24">
        <v>1.1798995E-2</v>
      </c>
      <c r="AB24">
        <v>0.04</v>
      </c>
      <c r="AC24">
        <v>23</v>
      </c>
    </row>
    <row r="25" spans="1:39" x14ac:dyDescent="0.2">
      <c r="A25" t="s">
        <v>23</v>
      </c>
      <c r="B25">
        <v>1.7480347E-2</v>
      </c>
      <c r="C25">
        <v>1.1295690000000001E-2</v>
      </c>
      <c r="D25">
        <v>1.5340001000000001E-2</v>
      </c>
      <c r="E25">
        <v>1.7604024999999999E-2</v>
      </c>
      <c r="F25">
        <v>1.391967E-2</v>
      </c>
      <c r="G25">
        <v>8.0249989999999997E-3</v>
      </c>
      <c r="H25">
        <v>1.3502448E-2</v>
      </c>
      <c r="I25">
        <v>1.3863851999999999E-2</v>
      </c>
      <c r="J25">
        <v>1.5194439000000001E-2</v>
      </c>
      <c r="K25">
        <v>1.2162709000000001E-2</v>
      </c>
      <c r="L25">
        <v>2.8228306000000002E-2</v>
      </c>
      <c r="M25">
        <v>1.3560801000000001E-2</v>
      </c>
      <c r="N25">
        <v>1.2750897000000001E-2</v>
      </c>
      <c r="O25">
        <v>1.3870406E-2</v>
      </c>
      <c r="P25">
        <v>9.4538650000000005E-3</v>
      </c>
      <c r="Q25">
        <v>6.2902610000000001E-3</v>
      </c>
      <c r="R25">
        <v>2.2682687E-2</v>
      </c>
      <c r="S25">
        <v>1.4304641999999999E-2</v>
      </c>
      <c r="T25">
        <v>1.3223132E-2</v>
      </c>
      <c r="U25">
        <v>1.0900241999999999E-2</v>
      </c>
      <c r="V25">
        <v>1.8758911E-2</v>
      </c>
      <c r="W25">
        <v>8.2977439999999993E-3</v>
      </c>
      <c r="X25">
        <v>1.2823510999999999E-2</v>
      </c>
      <c r="Y25">
        <v>0.105444634</v>
      </c>
      <c r="Z25">
        <v>1.734629E-2</v>
      </c>
      <c r="AB25">
        <v>0.04</v>
      </c>
      <c r="AC25">
        <v>24</v>
      </c>
    </row>
    <row r="26" spans="1:39" x14ac:dyDescent="0.2">
      <c r="A26" t="s">
        <v>24</v>
      </c>
      <c r="B26">
        <v>1.5873594000000001E-2</v>
      </c>
      <c r="C26">
        <v>1.1222357000000001E-2</v>
      </c>
      <c r="D26">
        <v>1.5411647000000001E-2</v>
      </c>
      <c r="E26">
        <v>1.7519578000000001E-2</v>
      </c>
      <c r="F26">
        <v>1.4528236999999999E-2</v>
      </c>
      <c r="G26">
        <v>8.5800809999999998E-3</v>
      </c>
      <c r="H26">
        <v>1.4902575E-2</v>
      </c>
      <c r="I26">
        <v>1.8169238000000001E-2</v>
      </c>
      <c r="J26">
        <v>1.6191100999999999E-2</v>
      </c>
      <c r="K26">
        <v>1.2332696000000001E-2</v>
      </c>
      <c r="L26">
        <v>2.1360833999999999E-2</v>
      </c>
      <c r="M26">
        <v>1.3448009E-2</v>
      </c>
      <c r="N26">
        <v>1.281536E-2</v>
      </c>
      <c r="O26">
        <v>1.2984974E-2</v>
      </c>
      <c r="P26">
        <v>9.7984189999999992E-3</v>
      </c>
      <c r="Q26">
        <v>6.7143009999999998E-3</v>
      </c>
      <c r="R26">
        <v>1.8579155999999999E-2</v>
      </c>
      <c r="S26">
        <v>1.4276027E-2</v>
      </c>
      <c r="T26">
        <v>1.2831832E-2</v>
      </c>
      <c r="U26">
        <v>1.2067761E-2</v>
      </c>
      <c r="V26">
        <v>1.7866788000000002E-2</v>
      </c>
      <c r="W26">
        <v>8.0650670000000004E-3</v>
      </c>
      <c r="X26">
        <v>1.1798995E-2</v>
      </c>
      <c r="Y26">
        <v>1.734629E-2</v>
      </c>
      <c r="Z26">
        <v>3.8025820000000002E-2</v>
      </c>
      <c r="AB26">
        <v>0.04</v>
      </c>
      <c r="AC26">
        <v>25</v>
      </c>
    </row>
    <row r="28" spans="1:39" x14ac:dyDescent="0.2">
      <c r="C28" t="s">
        <v>25</v>
      </c>
      <c r="D28" t="s">
        <v>26</v>
      </c>
      <c r="E28" t="s">
        <v>27</v>
      </c>
      <c r="O28">
        <v>1</v>
      </c>
      <c r="P28">
        <v>2</v>
      </c>
      <c r="Q28">
        <v>3</v>
      </c>
      <c r="R28">
        <v>4</v>
      </c>
      <c r="S28">
        <v>5</v>
      </c>
      <c r="T28">
        <v>6</v>
      </c>
      <c r="U28">
        <v>7</v>
      </c>
      <c r="V28">
        <v>8</v>
      </c>
      <c r="W28">
        <v>9</v>
      </c>
      <c r="X28">
        <v>10</v>
      </c>
      <c r="Y28">
        <v>11</v>
      </c>
      <c r="Z28">
        <v>12</v>
      </c>
      <c r="AA28">
        <v>13</v>
      </c>
      <c r="AB28">
        <v>14</v>
      </c>
      <c r="AC28">
        <v>15</v>
      </c>
      <c r="AD28">
        <v>16</v>
      </c>
      <c r="AE28">
        <v>17</v>
      </c>
      <c r="AF28">
        <v>18</v>
      </c>
      <c r="AG28">
        <v>19</v>
      </c>
      <c r="AH28">
        <v>20</v>
      </c>
      <c r="AI28">
        <v>21</v>
      </c>
      <c r="AJ28">
        <v>22</v>
      </c>
      <c r="AK28">
        <v>23</v>
      </c>
      <c r="AL28">
        <v>24</v>
      </c>
      <c r="AM28">
        <v>25</v>
      </c>
    </row>
    <row r="29" spans="1:39" x14ac:dyDescent="0.2">
      <c r="B29">
        <v>1</v>
      </c>
      <c r="C29">
        <v>8.529533696777962E-2</v>
      </c>
      <c r="D29" s="1">
        <v>5.0000000000000001E-3</v>
      </c>
      <c r="E29" s="2">
        <v>0.25</v>
      </c>
      <c r="H29" t="s">
        <v>28</v>
      </c>
      <c r="I29">
        <f>J29^2</f>
        <v>2.2745841483271984E-4</v>
      </c>
      <c r="J29" s="9">
        <f>MMULT(O29:AM29,MMULT(B2:Z26,C29:C53))</f>
        <v>1.5081724531124411E-2</v>
      </c>
      <c r="K29" t="s">
        <v>29</v>
      </c>
      <c r="L29">
        <v>0.14000000000000001</v>
      </c>
      <c r="N29" t="s">
        <v>30</v>
      </c>
      <c r="O29">
        <f>C29</f>
        <v>8.529533696777962E-2</v>
      </c>
      <c r="P29">
        <f>C30</f>
        <v>5.0000000000000001E-3</v>
      </c>
      <c r="Q29">
        <f>C31</f>
        <v>4.5941340434355708E-2</v>
      </c>
      <c r="R29">
        <f>C32</f>
        <v>5.0000000000000001E-3</v>
      </c>
      <c r="S29">
        <f>C33</f>
        <v>5.0000000000000001E-3</v>
      </c>
      <c r="T29">
        <f>C34</f>
        <v>5.0000000000000001E-3</v>
      </c>
      <c r="U29">
        <f>C35</f>
        <v>5.0000000000000001E-3</v>
      </c>
      <c r="V29">
        <f>C36</f>
        <v>5.5085976370840929E-2</v>
      </c>
      <c r="W29">
        <f>C37</f>
        <v>2.1979926885483426E-2</v>
      </c>
      <c r="X29">
        <f>C38</f>
        <v>2.0062828799649143E-2</v>
      </c>
      <c r="Y29">
        <f>C39</f>
        <v>7.412977942322195E-2</v>
      </c>
      <c r="Z29">
        <f>C40</f>
        <v>0.13314477849296161</v>
      </c>
      <c r="AA29">
        <f>C41</f>
        <v>8.1401387846773879E-2</v>
      </c>
      <c r="AB29">
        <f>C42</f>
        <v>5.0000000000000001E-3</v>
      </c>
      <c r="AC29">
        <f>C43</f>
        <v>5.0000000000000001E-3</v>
      </c>
      <c r="AD29">
        <f>C44</f>
        <v>0.13682166246779548</v>
      </c>
      <c r="AE29">
        <f>C45</f>
        <v>5.0000000000000001E-3</v>
      </c>
      <c r="AF29">
        <f>C46</f>
        <v>5.0000000000000001E-3</v>
      </c>
      <c r="AG29">
        <f>C47</f>
        <v>0.13755546549581218</v>
      </c>
      <c r="AH29">
        <f>C48</f>
        <v>9.0101223344264306E-2</v>
      </c>
      <c r="AI29">
        <f>C49</f>
        <v>5.0000000000000001E-3</v>
      </c>
      <c r="AJ29">
        <f>C50</f>
        <v>5.0000000000000001E-3</v>
      </c>
      <c r="AK29">
        <f>C51</f>
        <v>5.0000000000000001E-3</v>
      </c>
      <c r="AL29">
        <f>C52</f>
        <v>7.5487730874941672E-3</v>
      </c>
      <c r="AM29">
        <f>C53</f>
        <v>5.0931517920627035E-2</v>
      </c>
    </row>
    <row r="30" spans="1:39" x14ac:dyDescent="0.2">
      <c r="B30">
        <v>2</v>
      </c>
      <c r="C30">
        <v>5.0000000000000001E-3</v>
      </c>
      <c r="D30" s="1">
        <v>5.0000000000000001E-3</v>
      </c>
      <c r="E30" s="2">
        <v>0.25</v>
      </c>
      <c r="H30" t="s">
        <v>31</v>
      </c>
      <c r="I30">
        <f>SQRT(J29)</f>
        <v>0.1228076729326161</v>
      </c>
      <c r="L30">
        <v>0.1</v>
      </c>
    </row>
    <row r="31" spans="1:39" x14ac:dyDescent="0.2">
      <c r="B31">
        <v>3</v>
      </c>
      <c r="C31">
        <v>4.5941340434355708E-2</v>
      </c>
      <c r="D31" s="1">
        <v>5.0000000000000001E-3</v>
      </c>
      <c r="E31" s="2">
        <v>0.25</v>
      </c>
      <c r="H31" t="s">
        <v>32</v>
      </c>
      <c r="I31" s="1">
        <f>SUMPRODUCT(C29:C53,L29:L53)</f>
        <v>0.14000000044960653</v>
      </c>
      <c r="L31">
        <v>0.14000000000000001</v>
      </c>
    </row>
    <row r="32" spans="1:39" x14ac:dyDescent="0.2">
      <c r="B32">
        <v>4</v>
      </c>
      <c r="C32">
        <v>5.0000000000000001E-3</v>
      </c>
      <c r="D32" s="1">
        <v>5.0000000000000001E-3</v>
      </c>
      <c r="E32" s="2">
        <v>0.25</v>
      </c>
      <c r="H32" t="s">
        <v>33</v>
      </c>
      <c r="I32">
        <v>1</v>
      </c>
      <c r="L32">
        <v>0.12</v>
      </c>
    </row>
    <row r="33" spans="2:12" x14ac:dyDescent="0.2">
      <c r="B33">
        <v>5</v>
      </c>
      <c r="C33">
        <v>5.0000000000000001E-3</v>
      </c>
      <c r="D33" s="1">
        <v>5.0000000000000001E-3</v>
      </c>
      <c r="E33" s="2">
        <v>0.25</v>
      </c>
      <c r="L33">
        <v>0.1</v>
      </c>
    </row>
    <row r="34" spans="2:12" x14ac:dyDescent="0.2">
      <c r="B34">
        <v>6</v>
      </c>
      <c r="C34">
        <v>5.0000000000000001E-3</v>
      </c>
      <c r="D34" s="1">
        <v>5.0000000000000001E-3</v>
      </c>
      <c r="E34" s="2">
        <v>0.25</v>
      </c>
      <c r="H34" t="s">
        <v>34</v>
      </c>
      <c r="I34">
        <v>0</v>
      </c>
      <c r="L34">
        <v>0.08</v>
      </c>
    </row>
    <row r="35" spans="2:12" x14ac:dyDescent="0.2">
      <c r="B35">
        <v>7</v>
      </c>
      <c r="C35">
        <v>5.0000000000000001E-3</v>
      </c>
      <c r="D35" s="1">
        <v>5.0000000000000001E-3</v>
      </c>
      <c r="E35" s="2">
        <v>0.25</v>
      </c>
      <c r="L35">
        <v>0.09</v>
      </c>
    </row>
    <row r="36" spans="2:12" x14ac:dyDescent="0.2">
      <c r="B36">
        <v>8</v>
      </c>
      <c r="C36">
        <v>5.5085976370840929E-2</v>
      </c>
      <c r="D36" s="1">
        <v>5.0000000000000001E-3</v>
      </c>
      <c r="E36" s="2">
        <v>0.25</v>
      </c>
      <c r="I36" s="1">
        <v>0.04</v>
      </c>
      <c r="L36">
        <v>0.17</v>
      </c>
    </row>
    <row r="37" spans="2:12" x14ac:dyDescent="0.2">
      <c r="B37">
        <v>9</v>
      </c>
      <c r="C37">
        <v>2.1979926885483426E-2</v>
      </c>
      <c r="D37" s="1">
        <v>5.0000000000000001E-3</v>
      </c>
      <c r="E37" s="2">
        <v>0.25</v>
      </c>
      <c r="I37" s="1">
        <v>0.06</v>
      </c>
      <c r="L37">
        <v>0.14000000000000001</v>
      </c>
    </row>
    <row r="38" spans="2:12" x14ac:dyDescent="0.2">
      <c r="B38">
        <v>10</v>
      </c>
      <c r="C38">
        <v>2.0062828799649143E-2</v>
      </c>
      <c r="D38" s="1">
        <v>5.0000000000000001E-3</v>
      </c>
      <c r="E38" s="2">
        <v>0.25</v>
      </c>
      <c r="H38" t="s">
        <v>63</v>
      </c>
      <c r="I38" t="s">
        <v>64</v>
      </c>
      <c r="L38">
        <v>0.12</v>
      </c>
    </row>
    <row r="39" spans="2:12" x14ac:dyDescent="0.2">
      <c r="B39">
        <v>11</v>
      </c>
      <c r="C39">
        <v>7.412977942322195E-2</v>
      </c>
      <c r="D39" s="1">
        <v>5.0000000000000001E-3</v>
      </c>
      <c r="E39" s="2">
        <v>0.25</v>
      </c>
      <c r="H39">
        <v>9.7738007107480915E-2</v>
      </c>
      <c r="I39" s="1">
        <v>0.08</v>
      </c>
      <c r="L39">
        <v>0.21</v>
      </c>
    </row>
    <row r="40" spans="2:12" x14ac:dyDescent="0.2">
      <c r="B40">
        <v>12</v>
      </c>
      <c r="C40">
        <v>0.13314477849296161</v>
      </c>
      <c r="D40" s="1">
        <v>5.0000000000000001E-3</v>
      </c>
      <c r="E40" s="2">
        <v>0.25</v>
      </c>
      <c r="H40">
        <v>9.4573679127783417E-2</v>
      </c>
      <c r="I40" s="1">
        <v>0.09</v>
      </c>
      <c r="L40">
        <v>0.15</v>
      </c>
    </row>
    <row r="41" spans="2:12" x14ac:dyDescent="0.2">
      <c r="B41">
        <v>13</v>
      </c>
      <c r="C41">
        <v>8.1401387846773879E-2</v>
      </c>
      <c r="D41" s="1">
        <v>5.0000000000000001E-3</v>
      </c>
      <c r="E41" s="2">
        <v>0.25</v>
      </c>
      <c r="H41">
        <v>9.5444461499201022E-2</v>
      </c>
      <c r="I41" s="1">
        <v>0.1</v>
      </c>
      <c r="L41">
        <v>0.14000000000000001</v>
      </c>
    </row>
    <row r="42" spans="2:12" x14ac:dyDescent="0.2">
      <c r="B42">
        <v>14</v>
      </c>
      <c r="C42">
        <v>5.0000000000000001E-3</v>
      </c>
      <c r="D42" s="1">
        <v>5.0000000000000001E-3</v>
      </c>
      <c r="E42" s="2">
        <v>0.25</v>
      </c>
      <c r="H42">
        <v>0.11183655361962462</v>
      </c>
      <c r="I42" s="1">
        <v>0.13</v>
      </c>
      <c r="L42">
        <v>0.06</v>
      </c>
    </row>
    <row r="43" spans="2:12" x14ac:dyDescent="0.2">
      <c r="B43">
        <v>15</v>
      </c>
      <c r="C43">
        <v>5.0000000000000001E-3</v>
      </c>
      <c r="D43" s="1">
        <v>5.0000000000000001E-3</v>
      </c>
      <c r="E43" s="2">
        <v>0.25</v>
      </c>
      <c r="H43">
        <v>0.1228076729326161</v>
      </c>
      <c r="I43" s="1">
        <v>0.14000000000000001</v>
      </c>
      <c r="L43">
        <v>7.0000000000000007E-2</v>
      </c>
    </row>
    <row r="44" spans="2:12" x14ac:dyDescent="0.2">
      <c r="B44">
        <v>16</v>
      </c>
      <c r="C44">
        <v>0.13682166246779548</v>
      </c>
      <c r="D44" s="1">
        <v>5.0000000000000001E-3</v>
      </c>
      <c r="E44" s="2">
        <v>0.25</v>
      </c>
      <c r="H44">
        <v>0.16004614873911011</v>
      </c>
      <c r="I44" s="1">
        <v>0.16</v>
      </c>
      <c r="L44">
        <v>0.1</v>
      </c>
    </row>
    <row r="45" spans="2:12" x14ac:dyDescent="0.2">
      <c r="B45">
        <v>17</v>
      </c>
      <c r="C45">
        <v>5.0000000000000001E-3</v>
      </c>
      <c r="D45" s="1">
        <v>5.0000000000000001E-3</v>
      </c>
      <c r="E45" s="2">
        <v>0.25</v>
      </c>
      <c r="H45">
        <v>0.17705070602722323</v>
      </c>
      <c r="I45" s="1">
        <v>0.16545001848559229</v>
      </c>
      <c r="L45">
        <v>0.09</v>
      </c>
    </row>
    <row r="46" spans="2:12" x14ac:dyDescent="0.2">
      <c r="B46">
        <v>18</v>
      </c>
      <c r="C46">
        <v>5.0000000000000001E-3</v>
      </c>
      <c r="D46" s="1">
        <v>5.0000000000000001E-3</v>
      </c>
      <c r="E46" s="2">
        <v>0.25</v>
      </c>
      <c r="I46" s="1"/>
      <c r="L46">
        <v>0.08</v>
      </c>
    </row>
    <row r="47" spans="2:12" x14ac:dyDescent="0.2">
      <c r="B47">
        <v>19</v>
      </c>
      <c r="C47">
        <v>0.13755546549581218</v>
      </c>
      <c r="D47" s="1">
        <v>5.0000000000000001E-3</v>
      </c>
      <c r="E47" s="2">
        <v>0.25</v>
      </c>
      <c r="L47">
        <v>0.14000000000000001</v>
      </c>
    </row>
    <row r="48" spans="2:12" x14ac:dyDescent="0.2">
      <c r="B48">
        <v>20</v>
      </c>
      <c r="C48">
        <v>9.0101223344264306E-2</v>
      </c>
      <c r="D48" s="1">
        <v>5.0000000000000001E-3</v>
      </c>
      <c r="E48" s="2">
        <v>0.25</v>
      </c>
      <c r="L48">
        <v>0.15</v>
      </c>
    </row>
    <row r="49" spans="2:12" x14ac:dyDescent="0.2">
      <c r="B49">
        <v>21</v>
      </c>
      <c r="C49">
        <v>5.0000000000000001E-3</v>
      </c>
      <c r="D49" s="1">
        <v>5.0000000000000001E-3</v>
      </c>
      <c r="E49" s="2">
        <v>0.25</v>
      </c>
      <c r="L49">
        <v>0.1</v>
      </c>
    </row>
    <row r="50" spans="2:12" x14ac:dyDescent="0.2">
      <c r="B50">
        <v>22</v>
      </c>
      <c r="C50">
        <v>5.0000000000000001E-3</v>
      </c>
      <c r="D50" s="1">
        <v>5.0000000000000001E-3</v>
      </c>
      <c r="E50" s="2">
        <v>0.25</v>
      </c>
      <c r="L50">
        <v>0.08</v>
      </c>
    </row>
    <row r="51" spans="2:12" x14ac:dyDescent="0.2">
      <c r="B51">
        <v>23</v>
      </c>
      <c r="C51">
        <v>5.0000000000000001E-3</v>
      </c>
      <c r="D51" s="1">
        <v>5.0000000000000001E-3</v>
      </c>
      <c r="E51" s="2">
        <v>0.25</v>
      </c>
      <c r="L51">
        <v>7.0000000000000007E-2</v>
      </c>
    </row>
    <row r="52" spans="2:12" x14ac:dyDescent="0.2">
      <c r="B52">
        <v>24</v>
      </c>
      <c r="C52">
        <v>7.5487730874941672E-3</v>
      </c>
      <c r="D52" s="1">
        <v>5.0000000000000001E-3</v>
      </c>
      <c r="E52" s="2">
        <v>0.25</v>
      </c>
      <c r="L52">
        <v>0.14000000000000001</v>
      </c>
    </row>
    <row r="53" spans="2:12" x14ac:dyDescent="0.2">
      <c r="B53">
        <v>25</v>
      </c>
      <c r="C53">
        <v>5.0931517920627035E-2</v>
      </c>
      <c r="D53" s="1">
        <v>5.0000000000000001E-3</v>
      </c>
      <c r="E53" s="2">
        <v>0.25</v>
      </c>
      <c r="L53">
        <v>0.14000000000000001</v>
      </c>
    </row>
    <row r="54" spans="2:12" x14ac:dyDescent="0.2">
      <c r="B54" t="s">
        <v>35</v>
      </c>
      <c r="C54">
        <f>SUM(C29:C53)</f>
        <v>0.99999999753705937</v>
      </c>
      <c r="D54">
        <v>1</v>
      </c>
    </row>
  </sheetData>
  <phoneticPr fontId="18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B5" sqref="B1:B5"/>
    </sheetView>
  </sheetViews>
  <sheetFormatPr defaultRowHeight="14.25" x14ac:dyDescent="0.2"/>
  <cols>
    <col min="2" max="2" width="21.5" bestFit="1" customWidth="1"/>
  </cols>
  <sheetData>
    <row r="1" spans="1:2" x14ac:dyDescent="0.2">
      <c r="A1" t="s">
        <v>36</v>
      </c>
      <c r="B1" s="12">
        <v>706.28378945135796</v>
      </c>
    </row>
    <row r="2" spans="1:2" x14ac:dyDescent="0.2">
      <c r="A2" t="s">
        <v>37</v>
      </c>
      <c r="B2" s="12">
        <v>0.34305784856765498</v>
      </c>
    </row>
    <row r="3" spans="1:2" x14ac:dyDescent="0.2">
      <c r="A3" t="s">
        <v>38</v>
      </c>
      <c r="B3" s="12">
        <v>0.56587621757055095</v>
      </c>
    </row>
    <row r="4" spans="1:2" x14ac:dyDescent="0.2">
      <c r="A4" t="s">
        <v>39</v>
      </c>
      <c r="B4" s="12">
        <v>0.75754853087902696</v>
      </c>
    </row>
    <row r="5" spans="1:2" x14ac:dyDescent="0.2">
      <c r="A5" t="s">
        <v>40</v>
      </c>
      <c r="B5" s="12">
        <v>0.97175923281984999</v>
      </c>
    </row>
  </sheetData>
  <phoneticPr fontId="1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D54"/>
  <sheetViews>
    <sheetView tabSelected="1" topLeftCell="K11" workbookViewId="0">
      <selection activeCell="Z31" sqref="Z31"/>
    </sheetView>
  </sheetViews>
  <sheetFormatPr defaultRowHeight="14.25" x14ac:dyDescent="0.2"/>
  <cols>
    <col min="2" max="2" width="13" bestFit="1" customWidth="1"/>
    <col min="5" max="5" width="21.5" bestFit="1" customWidth="1"/>
    <col min="7" max="7" width="11.25" customWidth="1"/>
    <col min="9" max="9" width="16.25" bestFit="1" customWidth="1"/>
    <col min="10" max="10" width="10.25" bestFit="1" customWidth="1"/>
    <col min="14" max="14" width="15.5" bestFit="1" customWidth="1"/>
    <col min="15" max="15" width="11.875" bestFit="1" customWidth="1"/>
    <col min="16" max="16" width="14.625" bestFit="1" customWidth="1"/>
    <col min="26" max="26" width="12.125" bestFit="1" customWidth="1"/>
  </cols>
  <sheetData>
    <row r="1" spans="1:46" x14ac:dyDescent="0.2">
      <c r="A1" s="7" t="s">
        <v>43</v>
      </c>
      <c r="B1" s="7" t="s">
        <v>44</v>
      </c>
      <c r="C1" s="7" t="s">
        <v>45</v>
      </c>
      <c r="D1" s="7" t="s">
        <v>46</v>
      </c>
      <c r="E1" s="7" t="s">
        <v>47</v>
      </c>
      <c r="F1" s="7" t="s">
        <v>48</v>
      </c>
      <c r="G1" s="7" t="s">
        <v>49</v>
      </c>
      <c r="H1" s="7" t="s">
        <v>57</v>
      </c>
      <c r="I1" s="7" t="s">
        <v>56</v>
      </c>
      <c r="J1" s="7" t="s">
        <v>55</v>
      </c>
      <c r="K1" s="7" t="s">
        <v>50</v>
      </c>
      <c r="L1" s="7" t="s">
        <v>42</v>
      </c>
      <c r="M1" s="7" t="s">
        <v>51</v>
      </c>
      <c r="N1" s="7" t="s">
        <v>52</v>
      </c>
      <c r="O1" s="7" t="s">
        <v>53</v>
      </c>
      <c r="P1" s="7" t="s">
        <v>54</v>
      </c>
      <c r="Q1" s="7"/>
      <c r="S1" t="s">
        <v>0</v>
      </c>
      <c r="T1" t="s">
        <v>1</v>
      </c>
      <c r="U1" t="s">
        <v>2</v>
      </c>
      <c r="V1" t="s">
        <v>3</v>
      </c>
      <c r="W1" t="s">
        <v>4</v>
      </c>
      <c r="X1" t="s">
        <v>5</v>
      </c>
      <c r="Y1" t="s">
        <v>6</v>
      </c>
      <c r="Z1" t="s">
        <v>7</v>
      </c>
      <c r="AA1" t="s">
        <v>8</v>
      </c>
      <c r="AB1" t="s">
        <v>9</v>
      </c>
      <c r="AC1" t="s">
        <v>10</v>
      </c>
      <c r="AD1" t="s">
        <v>11</v>
      </c>
      <c r="AE1" t="s">
        <v>12</v>
      </c>
      <c r="AF1" t="s">
        <v>13</v>
      </c>
      <c r="AG1" t="s">
        <v>14</v>
      </c>
      <c r="AH1" t="s">
        <v>15</v>
      </c>
      <c r="AI1" t="s">
        <v>16</v>
      </c>
      <c r="AJ1" t="s">
        <v>17</v>
      </c>
      <c r="AK1" t="s">
        <v>18</v>
      </c>
      <c r="AL1" t="s">
        <v>19</v>
      </c>
      <c r="AM1" t="s">
        <v>20</v>
      </c>
      <c r="AN1" t="s">
        <v>21</v>
      </c>
      <c r="AO1" t="s">
        <v>22</v>
      </c>
      <c r="AP1" t="s">
        <v>23</v>
      </c>
      <c r="AQ1" t="s">
        <v>24</v>
      </c>
    </row>
    <row r="2" spans="1:46" x14ac:dyDescent="0.2">
      <c r="A2">
        <v>4</v>
      </c>
      <c r="B2" t="s">
        <v>0</v>
      </c>
      <c r="C2">
        <v>78.63</v>
      </c>
      <c r="D2">
        <v>5224000</v>
      </c>
      <c r="E2" s="11">
        <v>0.20124611797498107</v>
      </c>
      <c r="F2">
        <v>24.49</v>
      </c>
      <c r="G2" s="10">
        <v>0.14000000000000001</v>
      </c>
      <c r="H2" s="1">
        <f>T29</f>
        <v>5.0000000000000001E-3</v>
      </c>
      <c r="I2" s="5">
        <f>ABS(H2*$B$29)</f>
        <v>500000</v>
      </c>
      <c r="J2" s="6">
        <f>I2/C2</f>
        <v>6358.8960956377978</v>
      </c>
      <c r="K2" s="4">
        <f>J2/D2</f>
        <v>1.2172465726718602E-3</v>
      </c>
      <c r="L2" s="1">
        <f>K2/(1+K2)</f>
        <v>1.2157666848415681E-3</v>
      </c>
      <c r="M2">
        <f>$E$29*(K2^$E$30)*(E2^$E$31)*($E$33*(L2^$E$32)+(1-$E$33))</f>
        <v>0.97682629685916889</v>
      </c>
      <c r="N2" s="5">
        <f>M2/10000*I2</f>
        <v>48.84131484295844</v>
      </c>
      <c r="O2" s="3">
        <f>G2*I2</f>
        <v>70000</v>
      </c>
      <c r="P2" s="5">
        <f>O2-N2</f>
        <v>69951.158685157046</v>
      </c>
      <c r="R2" t="s">
        <v>0</v>
      </c>
      <c r="S2">
        <v>4.0836718000000001E-2</v>
      </c>
      <c r="T2">
        <v>1.1484558000000001E-2</v>
      </c>
      <c r="U2">
        <v>1.5073507999999999E-2</v>
      </c>
      <c r="V2">
        <v>1.7006291E-2</v>
      </c>
      <c r="W2">
        <v>1.4288515999999999E-2</v>
      </c>
      <c r="X2">
        <v>8.5739309999999999E-3</v>
      </c>
      <c r="Y2">
        <v>1.4396213E-2</v>
      </c>
      <c r="Z2">
        <v>1.6525015000000001E-2</v>
      </c>
      <c r="AA2">
        <v>1.5196238000000001E-2</v>
      </c>
      <c r="AB2">
        <v>1.2164378E-2</v>
      </c>
      <c r="AC2">
        <v>2.2022389E-2</v>
      </c>
      <c r="AD2">
        <v>1.2989624999999999E-2</v>
      </c>
      <c r="AE2">
        <v>1.2630687E-2</v>
      </c>
      <c r="AF2">
        <v>1.3026874000000001E-2</v>
      </c>
      <c r="AG2">
        <v>1.0012559000000001E-2</v>
      </c>
      <c r="AH2">
        <v>6.8772659999999999E-3</v>
      </c>
      <c r="AI2">
        <v>1.8508153999999999E-2</v>
      </c>
      <c r="AJ2">
        <v>1.4267887999999999E-2</v>
      </c>
      <c r="AK2">
        <v>1.2694359000000001E-2</v>
      </c>
      <c r="AL2">
        <v>1.0947798E-2</v>
      </c>
      <c r="AM2">
        <v>1.7665538000000001E-2</v>
      </c>
      <c r="AN2">
        <v>8.4996010000000007E-3</v>
      </c>
      <c r="AO2">
        <v>1.2379060000000001E-2</v>
      </c>
      <c r="AP2">
        <v>1.7480347E-2</v>
      </c>
      <c r="AQ2">
        <v>1.5873594000000001E-2</v>
      </c>
      <c r="AS2">
        <v>0.04</v>
      </c>
      <c r="AT2">
        <v>1</v>
      </c>
    </row>
    <row r="3" spans="1:46" x14ac:dyDescent="0.2">
      <c r="A3">
        <v>4</v>
      </c>
      <c r="B3" t="s">
        <v>1</v>
      </c>
      <c r="C3">
        <v>124.33</v>
      </c>
      <c r="D3">
        <v>1223000</v>
      </c>
      <c r="E3" s="11">
        <v>0.20676073128135333</v>
      </c>
      <c r="F3">
        <v>24.12</v>
      </c>
      <c r="G3" s="10">
        <v>0.1</v>
      </c>
      <c r="H3" s="1">
        <f t="shared" ref="H3:H27" si="0">T30</f>
        <v>4.2671748481897719E-2</v>
      </c>
      <c r="I3" s="5">
        <f t="shared" ref="I3:I27" si="1">ABS(H3*$B$29)</f>
        <v>4267174.8481897721</v>
      </c>
      <c r="J3" s="6">
        <f t="shared" ref="J3:K26" si="2">I3/C3</f>
        <v>34321.361281989644</v>
      </c>
      <c r="K3" s="4">
        <f t="shared" si="2"/>
        <v>2.8063255340956373E-2</v>
      </c>
      <c r="L3" s="1">
        <f t="shared" ref="L3:L26" si="3">K3/(1+K3)</f>
        <v>2.7297206854892619E-2</v>
      </c>
      <c r="M3">
        <f t="shared" ref="M3:M26" si="4">$E$29*(K3^$E$30)*(E3^$E$31)*($E$33*(L3^$E$32)+(1-$E$33))</f>
        <v>7.7956138943751609</v>
      </c>
      <c r="N3" s="5">
        <f t="shared" ref="N3:N26" si="5">M3/10000*I3</f>
        <v>3326.5247536276406</v>
      </c>
      <c r="O3" s="3">
        <f t="shared" ref="O3:O25" si="6">G3*I3</f>
        <v>426717.48481897725</v>
      </c>
      <c r="P3" s="5">
        <f t="shared" ref="P3:P26" si="7">O3-N3</f>
        <v>423390.96006534959</v>
      </c>
      <c r="R3" t="s">
        <v>1</v>
      </c>
      <c r="S3">
        <v>1.1484558000000001E-2</v>
      </c>
      <c r="T3">
        <v>4.2999701000000001E-2</v>
      </c>
      <c r="U3">
        <v>1.1263903E-2</v>
      </c>
      <c r="V3">
        <v>1.2521071999999999E-2</v>
      </c>
      <c r="W3">
        <v>1.1037646999999999E-2</v>
      </c>
      <c r="X3">
        <v>6.8283659999999998E-3</v>
      </c>
      <c r="Y3">
        <v>1.1370447000000001E-2</v>
      </c>
      <c r="Z3">
        <v>1.379623E-2</v>
      </c>
      <c r="AA3">
        <v>1.1402361E-2</v>
      </c>
      <c r="AB3">
        <v>9.2278780000000001E-3</v>
      </c>
      <c r="AC3">
        <v>1.3389317E-2</v>
      </c>
      <c r="AD3">
        <v>9.4890830000000006E-3</v>
      </c>
      <c r="AE3">
        <v>9.5118640000000001E-3</v>
      </c>
      <c r="AF3">
        <v>9.4450660000000002E-3</v>
      </c>
      <c r="AG3">
        <v>7.9634219999999995E-3</v>
      </c>
      <c r="AH3">
        <v>5.5859569999999999E-3</v>
      </c>
      <c r="AI3">
        <v>1.1734583E-2</v>
      </c>
      <c r="AJ3">
        <v>1.083219E-2</v>
      </c>
      <c r="AK3">
        <v>9.3394289999999998E-3</v>
      </c>
      <c r="AL3">
        <v>8.1760359999999994E-3</v>
      </c>
      <c r="AM3">
        <v>1.2795332E-2</v>
      </c>
      <c r="AN3">
        <v>6.6481750000000001E-3</v>
      </c>
      <c r="AO3">
        <v>9.2613230000000001E-3</v>
      </c>
      <c r="AP3">
        <v>1.1295690000000001E-2</v>
      </c>
      <c r="AQ3">
        <v>1.1222357000000001E-2</v>
      </c>
      <c r="AS3">
        <v>0.04</v>
      </c>
      <c r="AT3">
        <v>2</v>
      </c>
    </row>
    <row r="4" spans="1:46" x14ac:dyDescent="0.2">
      <c r="A4">
        <v>4</v>
      </c>
      <c r="B4" t="s">
        <v>2</v>
      </c>
      <c r="C4">
        <v>37.97</v>
      </c>
      <c r="D4">
        <v>2061000</v>
      </c>
      <c r="E4" s="11">
        <v>0.21035683967962629</v>
      </c>
      <c r="F4">
        <v>23.24</v>
      </c>
      <c r="G4" s="10">
        <v>0.14000000000000001</v>
      </c>
      <c r="H4" s="1">
        <f t="shared" si="0"/>
        <v>5.0000000000000001E-3</v>
      </c>
      <c r="I4" s="5">
        <f t="shared" si="1"/>
        <v>500000</v>
      </c>
      <c r="J4" s="6">
        <f t="shared" si="2"/>
        <v>13168.290755859889</v>
      </c>
      <c r="K4" s="4">
        <f t="shared" si="2"/>
        <v>6.3892725647063994E-3</v>
      </c>
      <c r="L4" s="1">
        <f t="shared" si="3"/>
        <v>6.3487089329001146E-3</v>
      </c>
      <c r="M4">
        <f t="shared" si="4"/>
        <v>2.5447870488752544</v>
      </c>
      <c r="N4" s="5">
        <f t="shared" si="5"/>
        <v>127.23935244376273</v>
      </c>
      <c r="O4" s="3">
        <f t="shared" si="6"/>
        <v>70000</v>
      </c>
      <c r="P4" s="5">
        <f t="shared" si="7"/>
        <v>69872.760647556235</v>
      </c>
      <c r="R4" t="s">
        <v>2</v>
      </c>
      <c r="S4">
        <v>1.5073507999999999E-2</v>
      </c>
      <c r="T4">
        <v>1.1263903E-2</v>
      </c>
      <c r="U4">
        <v>4.4410461999999998E-2</v>
      </c>
      <c r="V4">
        <v>1.7529769000000001E-2</v>
      </c>
      <c r="W4">
        <v>1.4933154000000001E-2</v>
      </c>
      <c r="X4">
        <v>8.9398870000000005E-3</v>
      </c>
      <c r="Y4">
        <v>1.5734531999999999E-2</v>
      </c>
      <c r="Z4">
        <v>2.0566745000000001E-2</v>
      </c>
      <c r="AA4">
        <v>1.6765188E-2</v>
      </c>
      <c r="AB4">
        <v>1.2484011999999999E-2</v>
      </c>
      <c r="AC4">
        <v>1.7664776E-2</v>
      </c>
      <c r="AD4">
        <v>1.3423829999999999E-2</v>
      </c>
      <c r="AE4">
        <v>1.2908685E-2</v>
      </c>
      <c r="AF4">
        <v>1.2562039000000001E-2</v>
      </c>
      <c r="AG4">
        <v>1.0063574E-2</v>
      </c>
      <c r="AH4">
        <v>7.0030630000000003E-3</v>
      </c>
      <c r="AI4">
        <v>1.6366851000000002E-2</v>
      </c>
      <c r="AJ4">
        <v>1.4338780000000001E-2</v>
      </c>
      <c r="AK4">
        <v>1.2672320000000001E-2</v>
      </c>
      <c r="AL4">
        <v>1.2705374E-2</v>
      </c>
      <c r="AM4">
        <v>1.7448405E-2</v>
      </c>
      <c r="AN4">
        <v>8.0126929999999996E-3</v>
      </c>
      <c r="AO4">
        <v>1.1332904E-2</v>
      </c>
      <c r="AP4">
        <v>1.5340001000000001E-2</v>
      </c>
      <c r="AQ4">
        <v>1.5411647000000001E-2</v>
      </c>
      <c r="AS4">
        <v>0.04</v>
      </c>
      <c r="AT4">
        <v>3</v>
      </c>
    </row>
    <row r="5" spans="1:46" x14ac:dyDescent="0.2">
      <c r="A5">
        <v>4</v>
      </c>
      <c r="B5" t="s">
        <v>3</v>
      </c>
      <c r="C5">
        <v>53.28</v>
      </c>
      <c r="D5">
        <v>6561000</v>
      </c>
      <c r="E5" s="11">
        <v>0.22135943621178655</v>
      </c>
      <c r="F5">
        <v>23.9</v>
      </c>
      <c r="G5" s="10">
        <v>0.12</v>
      </c>
      <c r="H5" s="1">
        <f t="shared" si="0"/>
        <v>5.0000000000000001E-3</v>
      </c>
      <c r="I5" s="5">
        <f t="shared" si="1"/>
        <v>500000</v>
      </c>
      <c r="J5" s="6">
        <f t="shared" si="2"/>
        <v>9384.3843843843842</v>
      </c>
      <c r="K5" s="4">
        <f t="shared" si="2"/>
        <v>1.4303283621985039E-3</v>
      </c>
      <c r="L5" s="1">
        <f t="shared" si="3"/>
        <v>1.4282854450171803E-3</v>
      </c>
      <c r="M5">
        <f t="shared" si="4"/>
        <v>1.1144177340700776</v>
      </c>
      <c r="N5" s="5">
        <f t="shared" si="5"/>
        <v>55.720886703503879</v>
      </c>
      <c r="O5" s="3">
        <f t="shared" si="6"/>
        <v>60000</v>
      </c>
      <c r="P5" s="5">
        <f t="shared" si="7"/>
        <v>59944.279113296499</v>
      </c>
      <c r="R5" t="s">
        <v>3</v>
      </c>
      <c r="S5">
        <v>1.7006291E-2</v>
      </c>
      <c r="T5">
        <v>1.2521071999999999E-2</v>
      </c>
      <c r="U5">
        <v>1.7529769000000001E-2</v>
      </c>
      <c r="V5">
        <v>4.9189314999999997E-2</v>
      </c>
      <c r="W5">
        <v>1.6771273999999999E-2</v>
      </c>
      <c r="X5">
        <v>9.9560359999999997E-3</v>
      </c>
      <c r="Y5">
        <v>1.7689013E-2</v>
      </c>
      <c r="Z5">
        <v>2.3247451999999998E-2</v>
      </c>
      <c r="AA5">
        <v>1.9109977E-2</v>
      </c>
      <c r="AB5">
        <v>1.4048568000000001E-2</v>
      </c>
      <c r="AC5">
        <v>2.0364139E-2</v>
      </c>
      <c r="AD5">
        <v>1.52652E-2</v>
      </c>
      <c r="AE5">
        <v>1.4544969E-2</v>
      </c>
      <c r="AF5">
        <v>1.4174340000000001E-2</v>
      </c>
      <c r="AG5">
        <v>1.1144744E-2</v>
      </c>
      <c r="AH5">
        <v>7.7264040000000001E-3</v>
      </c>
      <c r="AI5">
        <v>1.8889063000000001E-2</v>
      </c>
      <c r="AJ5">
        <v>1.6081899E-2</v>
      </c>
      <c r="AK5">
        <v>1.4315746000000001E-2</v>
      </c>
      <c r="AL5">
        <v>1.4592612E-2</v>
      </c>
      <c r="AM5">
        <v>1.9760361000000001E-2</v>
      </c>
      <c r="AN5">
        <v>8.8200180000000006E-3</v>
      </c>
      <c r="AO5">
        <v>1.2576311999999999E-2</v>
      </c>
      <c r="AP5">
        <v>1.7604024999999999E-2</v>
      </c>
      <c r="AQ5">
        <v>1.7519578000000001E-2</v>
      </c>
      <c r="AS5">
        <v>0.04</v>
      </c>
      <c r="AT5">
        <v>4</v>
      </c>
    </row>
    <row r="6" spans="1:46" x14ac:dyDescent="0.2">
      <c r="A6">
        <v>4</v>
      </c>
      <c r="B6" t="s">
        <v>4</v>
      </c>
      <c r="C6">
        <v>50.8</v>
      </c>
      <c r="D6">
        <v>2210000</v>
      </c>
      <c r="E6" s="11">
        <v>0.20371548787463364</v>
      </c>
      <c r="F6">
        <v>23.17</v>
      </c>
      <c r="G6" s="10">
        <v>0.1</v>
      </c>
      <c r="H6" s="1">
        <f t="shared" si="0"/>
        <v>5.0000000000000001E-3</v>
      </c>
      <c r="I6" s="5">
        <f t="shared" si="1"/>
        <v>500000</v>
      </c>
      <c r="J6" s="6">
        <f t="shared" si="2"/>
        <v>9842.5196850393713</v>
      </c>
      <c r="K6" s="4">
        <f t="shared" si="2"/>
        <v>4.4536288167598961E-3</v>
      </c>
      <c r="L6" s="1">
        <f t="shared" si="3"/>
        <v>4.433881952326902E-3</v>
      </c>
      <c r="M6">
        <f t="shared" si="4"/>
        <v>1.9835547277177563</v>
      </c>
      <c r="N6" s="5">
        <f t="shared" si="5"/>
        <v>99.177736385887812</v>
      </c>
      <c r="O6" s="3">
        <f t="shared" si="6"/>
        <v>50000</v>
      </c>
      <c r="P6" s="5">
        <f t="shared" si="7"/>
        <v>49900.822263614114</v>
      </c>
      <c r="R6" t="s">
        <v>4</v>
      </c>
      <c r="S6">
        <v>1.4288515999999999E-2</v>
      </c>
      <c r="T6">
        <v>1.1037646999999999E-2</v>
      </c>
      <c r="U6">
        <v>1.4933154000000001E-2</v>
      </c>
      <c r="V6">
        <v>1.6771273999999999E-2</v>
      </c>
      <c r="W6">
        <v>4.1702840999999997E-2</v>
      </c>
      <c r="X6">
        <v>8.8337369999999995E-3</v>
      </c>
      <c r="Y6">
        <v>1.5441902E-2</v>
      </c>
      <c r="Z6">
        <v>2.0427667E-2</v>
      </c>
      <c r="AA6">
        <v>1.6111365999999998E-2</v>
      </c>
      <c r="AB6">
        <v>1.2096318999999999E-2</v>
      </c>
      <c r="AC6">
        <v>1.5552655E-2</v>
      </c>
      <c r="AD6">
        <v>1.2800272999999999E-2</v>
      </c>
      <c r="AE6">
        <v>1.2472197000000001E-2</v>
      </c>
      <c r="AF6">
        <v>1.1974423E-2</v>
      </c>
      <c r="AG6">
        <v>9.9659359999999999E-3</v>
      </c>
      <c r="AH6">
        <v>6.9924239999999997E-3</v>
      </c>
      <c r="AI6">
        <v>1.4727825999999999E-2</v>
      </c>
      <c r="AJ6">
        <v>1.3914826999999999E-2</v>
      </c>
      <c r="AK6">
        <v>1.2137656E-2</v>
      </c>
      <c r="AL6">
        <v>1.2159328E-2</v>
      </c>
      <c r="AM6">
        <v>1.6608996000000001E-2</v>
      </c>
      <c r="AN6">
        <v>7.913359E-3</v>
      </c>
      <c r="AO6">
        <v>1.0984291E-2</v>
      </c>
      <c r="AP6">
        <v>1.391967E-2</v>
      </c>
      <c r="AQ6">
        <v>1.4528236999999999E-2</v>
      </c>
      <c r="AS6">
        <v>0.04</v>
      </c>
      <c r="AT6">
        <v>5</v>
      </c>
    </row>
    <row r="7" spans="1:46" x14ac:dyDescent="0.2">
      <c r="A7">
        <v>4</v>
      </c>
      <c r="B7" t="s">
        <v>5</v>
      </c>
      <c r="C7">
        <v>81.91</v>
      </c>
      <c r="D7">
        <v>2550000</v>
      </c>
      <c r="E7" s="11">
        <v>0.16881943016134132</v>
      </c>
      <c r="F7">
        <v>24.09</v>
      </c>
      <c r="G7" s="10">
        <v>0.08</v>
      </c>
      <c r="H7" s="1">
        <f t="shared" si="0"/>
        <v>0.11796260909993544</v>
      </c>
      <c r="I7" s="5">
        <f t="shared" si="1"/>
        <v>11796260.909993544</v>
      </c>
      <c r="J7" s="6">
        <f t="shared" si="2"/>
        <v>144014.90550596442</v>
      </c>
      <c r="K7" s="4">
        <f t="shared" si="2"/>
        <v>5.6476433531750754E-2</v>
      </c>
      <c r="L7" s="1">
        <f t="shared" si="3"/>
        <v>5.3457352894236088E-2</v>
      </c>
      <c r="M7">
        <f t="shared" si="4"/>
        <v>12.89550392310635</v>
      </c>
      <c r="N7" s="5">
        <f t="shared" si="5"/>
        <v>15211.872884280781</v>
      </c>
      <c r="O7" s="3">
        <f t="shared" si="6"/>
        <v>943700.87279948359</v>
      </c>
      <c r="P7" s="5">
        <f t="shared" si="7"/>
        <v>928488.99991520285</v>
      </c>
      <c r="R7" t="s">
        <v>5</v>
      </c>
      <c r="S7">
        <v>8.5739309999999999E-3</v>
      </c>
      <c r="T7">
        <v>6.8283659999999998E-3</v>
      </c>
      <c r="U7">
        <v>8.9398870000000005E-3</v>
      </c>
      <c r="V7">
        <v>9.9560359999999997E-3</v>
      </c>
      <c r="W7">
        <v>8.8337369999999995E-3</v>
      </c>
      <c r="X7">
        <v>2.8736925E-2</v>
      </c>
      <c r="Y7">
        <v>9.3510520000000003E-3</v>
      </c>
      <c r="Z7">
        <v>1.2249848000000001E-2</v>
      </c>
      <c r="AA7">
        <v>9.4771969999999997E-3</v>
      </c>
      <c r="AB7">
        <v>7.3057189999999996E-3</v>
      </c>
      <c r="AC7">
        <v>8.8424109999999997E-3</v>
      </c>
      <c r="AD7">
        <v>7.5612500000000003E-3</v>
      </c>
      <c r="AE7">
        <v>7.5125890000000001E-3</v>
      </c>
      <c r="AF7">
        <v>7.1863710000000004E-3</v>
      </c>
      <c r="AG7">
        <v>6.2104170000000002E-3</v>
      </c>
      <c r="AH7">
        <v>4.387981E-3</v>
      </c>
      <c r="AI7">
        <v>8.3743129999999995E-3</v>
      </c>
      <c r="AJ7">
        <v>8.4597860000000004E-3</v>
      </c>
      <c r="AK7">
        <v>7.2692859999999998E-3</v>
      </c>
      <c r="AL7">
        <v>7.0373629999999996E-3</v>
      </c>
      <c r="AM7">
        <v>9.892863E-3</v>
      </c>
      <c r="AN7">
        <v>4.9855979999999999E-3</v>
      </c>
      <c r="AO7">
        <v>6.8147720000000002E-3</v>
      </c>
      <c r="AP7">
        <v>8.0249989999999997E-3</v>
      </c>
      <c r="AQ7">
        <v>8.5800809999999998E-3</v>
      </c>
      <c r="AS7">
        <v>0.04</v>
      </c>
      <c r="AT7">
        <v>6</v>
      </c>
    </row>
    <row r="8" spans="1:46" x14ac:dyDescent="0.2">
      <c r="A8">
        <v>4</v>
      </c>
      <c r="B8" t="s">
        <v>6</v>
      </c>
      <c r="C8">
        <v>52.99</v>
      </c>
      <c r="D8">
        <v>4036000</v>
      </c>
      <c r="E8" s="11">
        <v>0.22360679774997896</v>
      </c>
      <c r="F8">
        <v>24.43</v>
      </c>
      <c r="G8" s="10">
        <v>0.09</v>
      </c>
      <c r="H8" s="1">
        <f t="shared" si="0"/>
        <v>5.0000000000000001E-3</v>
      </c>
      <c r="I8" s="5">
        <f t="shared" si="1"/>
        <v>500000</v>
      </c>
      <c r="J8" s="6">
        <f t="shared" si="2"/>
        <v>9435.7425929420642</v>
      </c>
      <c r="K8" s="4">
        <f t="shared" si="2"/>
        <v>2.3378945968637425E-3</v>
      </c>
      <c r="L8" s="1">
        <f t="shared" si="3"/>
        <v>2.3324415942630149E-3</v>
      </c>
      <c r="M8">
        <f t="shared" si="4"/>
        <v>1.442352904902271</v>
      </c>
      <c r="N8" s="5">
        <f t="shared" si="5"/>
        <v>72.11764524511355</v>
      </c>
      <c r="O8" s="3">
        <f t="shared" si="6"/>
        <v>45000</v>
      </c>
      <c r="P8" s="5">
        <f t="shared" si="7"/>
        <v>44927.882354754889</v>
      </c>
      <c r="R8" t="s">
        <v>6</v>
      </c>
      <c r="S8">
        <v>1.4396213E-2</v>
      </c>
      <c r="T8">
        <v>1.1370447000000001E-2</v>
      </c>
      <c r="U8">
        <v>1.5734531999999999E-2</v>
      </c>
      <c r="V8">
        <v>1.7689013E-2</v>
      </c>
      <c r="W8">
        <v>1.5441902E-2</v>
      </c>
      <c r="X8">
        <v>9.3510520000000003E-3</v>
      </c>
      <c r="Y8">
        <v>5.0373813000000003E-2</v>
      </c>
      <c r="Z8">
        <v>2.3111368E-2</v>
      </c>
      <c r="AA8">
        <v>1.7488133999999999E-2</v>
      </c>
      <c r="AB8">
        <v>1.2726790999999999E-2</v>
      </c>
      <c r="AC8">
        <v>1.4184054999999999E-2</v>
      </c>
      <c r="AD8">
        <v>1.3518128000000001E-2</v>
      </c>
      <c r="AE8">
        <v>1.3099230999999999E-2</v>
      </c>
      <c r="AF8">
        <v>1.2239831E-2</v>
      </c>
      <c r="AG8">
        <v>1.0380172E-2</v>
      </c>
      <c r="AH8">
        <v>7.3234349999999997E-3</v>
      </c>
      <c r="AI8">
        <v>1.434768E-2</v>
      </c>
      <c r="AJ8">
        <v>1.4501042E-2</v>
      </c>
      <c r="AK8">
        <v>1.2614465E-2</v>
      </c>
      <c r="AL8">
        <v>1.3467321000000001E-2</v>
      </c>
      <c r="AM8">
        <v>1.7177246E-2</v>
      </c>
      <c r="AN8">
        <v>7.9968969999999993E-3</v>
      </c>
      <c r="AO8">
        <v>1.0933399E-2</v>
      </c>
      <c r="AP8">
        <v>1.3502448E-2</v>
      </c>
      <c r="AQ8">
        <v>1.4902575E-2</v>
      </c>
      <c r="AS8">
        <v>0.04</v>
      </c>
      <c r="AT8">
        <v>7</v>
      </c>
    </row>
    <row r="9" spans="1:46" x14ac:dyDescent="0.2">
      <c r="A9">
        <v>4</v>
      </c>
      <c r="B9" t="s">
        <v>7</v>
      </c>
      <c r="C9">
        <v>131.25</v>
      </c>
      <c r="D9">
        <v>5468000</v>
      </c>
      <c r="E9" s="11">
        <v>0.28195744359743369</v>
      </c>
      <c r="F9">
        <v>25.21</v>
      </c>
      <c r="G9" s="10">
        <v>0.17</v>
      </c>
      <c r="H9" s="1">
        <f t="shared" si="0"/>
        <v>5.000000000000001E-3</v>
      </c>
      <c r="I9" s="5">
        <f t="shared" si="1"/>
        <v>500000.00000000012</v>
      </c>
      <c r="J9" s="6">
        <f t="shared" si="2"/>
        <v>3809.5238095238105</v>
      </c>
      <c r="K9" s="4">
        <f t="shared" si="2"/>
        <v>6.966941860870173E-4</v>
      </c>
      <c r="L9" s="1">
        <f t="shared" si="3"/>
        <v>6.9620914122602441E-4</v>
      </c>
      <c r="M9">
        <f t="shared" si="4"/>
        <v>0.91719838621519345</v>
      </c>
      <c r="N9" s="5">
        <f t="shared" si="5"/>
        <v>45.859919310759686</v>
      </c>
      <c r="O9" s="3">
        <f t="shared" si="6"/>
        <v>85000.000000000029</v>
      </c>
      <c r="P9" s="5">
        <f t="shared" si="7"/>
        <v>84954.140080689263</v>
      </c>
      <c r="R9" t="s">
        <v>7</v>
      </c>
      <c r="S9">
        <v>1.6525015000000001E-2</v>
      </c>
      <c r="T9">
        <v>1.379623E-2</v>
      </c>
      <c r="U9">
        <v>2.0566745000000001E-2</v>
      </c>
      <c r="V9">
        <v>2.3247451999999998E-2</v>
      </c>
      <c r="W9">
        <v>2.0427667E-2</v>
      </c>
      <c r="X9">
        <v>1.2249848000000001E-2</v>
      </c>
      <c r="Y9">
        <v>2.3111368E-2</v>
      </c>
      <c r="Z9">
        <v>8.0008229E-2</v>
      </c>
      <c r="AA9">
        <v>2.4757514000000001E-2</v>
      </c>
      <c r="AB9">
        <v>1.6521503999999999E-2</v>
      </c>
      <c r="AC9">
        <v>1.1288289E-2</v>
      </c>
      <c r="AD9">
        <v>1.7854774E-2</v>
      </c>
      <c r="AE9">
        <v>1.6940710000000001E-2</v>
      </c>
      <c r="AF9">
        <v>1.4681994E-2</v>
      </c>
      <c r="AG9">
        <v>1.296371E-2</v>
      </c>
      <c r="AH9">
        <v>9.2645120000000008E-3</v>
      </c>
      <c r="AI9">
        <v>1.5050312E-2</v>
      </c>
      <c r="AJ9">
        <v>1.8300312999999999E-2</v>
      </c>
      <c r="AK9">
        <v>1.5883161999999999E-2</v>
      </c>
      <c r="AL9">
        <v>2.0053793E-2</v>
      </c>
      <c r="AM9">
        <v>2.137505E-2</v>
      </c>
      <c r="AN9">
        <v>9.0834869999999995E-3</v>
      </c>
      <c r="AO9">
        <v>1.1895149000000001E-2</v>
      </c>
      <c r="AP9">
        <v>1.3863851999999999E-2</v>
      </c>
      <c r="AQ9">
        <v>1.8169238000000001E-2</v>
      </c>
      <c r="AS9">
        <v>0.04</v>
      </c>
      <c r="AT9">
        <v>8</v>
      </c>
    </row>
    <row r="10" spans="1:46" x14ac:dyDescent="0.2">
      <c r="A10">
        <v>4</v>
      </c>
      <c r="B10" t="s">
        <v>8</v>
      </c>
      <c r="C10">
        <v>71.72</v>
      </c>
      <c r="D10">
        <v>1652000</v>
      </c>
      <c r="E10" s="11">
        <v>0.21737065119284157</v>
      </c>
      <c r="F10">
        <v>23.73</v>
      </c>
      <c r="G10" s="10">
        <v>0.14000000000000001</v>
      </c>
      <c r="H10" s="1">
        <f t="shared" si="0"/>
        <v>5.0000000000000001E-3</v>
      </c>
      <c r="I10" s="5">
        <f t="shared" si="1"/>
        <v>500000</v>
      </c>
      <c r="J10" s="6">
        <f t="shared" si="2"/>
        <v>6971.5560513106529</v>
      </c>
      <c r="K10" s="4">
        <f t="shared" si="2"/>
        <v>4.2200702489773928E-3</v>
      </c>
      <c r="L10" s="1">
        <f t="shared" si="3"/>
        <v>4.2023360954448023E-3</v>
      </c>
      <c r="M10">
        <f t="shared" si="4"/>
        <v>1.9909335550774963</v>
      </c>
      <c r="N10" s="5">
        <f t="shared" si="5"/>
        <v>99.546677753874818</v>
      </c>
      <c r="O10" s="3">
        <f t="shared" si="6"/>
        <v>70000</v>
      </c>
      <c r="P10" s="5">
        <f t="shared" si="7"/>
        <v>69900.453322246132</v>
      </c>
      <c r="R10" t="s">
        <v>8</v>
      </c>
      <c r="S10">
        <v>1.5196238000000001E-2</v>
      </c>
      <c r="T10">
        <v>1.1402361E-2</v>
      </c>
      <c r="U10">
        <v>1.6765188E-2</v>
      </c>
      <c r="V10">
        <v>1.9109977E-2</v>
      </c>
      <c r="W10">
        <v>1.6111365999999998E-2</v>
      </c>
      <c r="X10">
        <v>9.4771969999999997E-3</v>
      </c>
      <c r="Y10">
        <v>1.7488133999999999E-2</v>
      </c>
      <c r="Z10">
        <v>2.4757514000000001E-2</v>
      </c>
      <c r="AA10">
        <v>4.7500506999999997E-2</v>
      </c>
      <c r="AB10">
        <v>1.3360161000000001E-2</v>
      </c>
      <c r="AC10">
        <v>1.6286947999999999E-2</v>
      </c>
      <c r="AD10">
        <v>1.4721553E-2</v>
      </c>
      <c r="AE10">
        <v>1.3810118E-2</v>
      </c>
      <c r="AF10">
        <v>1.2940202E-2</v>
      </c>
      <c r="AG10">
        <v>1.0291391E-2</v>
      </c>
      <c r="AH10">
        <v>7.1744640000000002E-3</v>
      </c>
      <c r="AI10">
        <v>1.6509431000000001E-2</v>
      </c>
      <c r="AJ10">
        <v>1.5031246999999999E-2</v>
      </c>
      <c r="AK10">
        <v>1.3410089E-2</v>
      </c>
      <c r="AL10">
        <v>1.5177207999999999E-2</v>
      </c>
      <c r="AM10">
        <v>1.841775E-2</v>
      </c>
      <c r="AN10">
        <v>7.7125079999999999E-3</v>
      </c>
      <c r="AO10">
        <v>1.0833048E-2</v>
      </c>
      <c r="AP10">
        <v>1.5194439000000001E-2</v>
      </c>
      <c r="AQ10">
        <v>1.6191100999999999E-2</v>
      </c>
      <c r="AS10">
        <v>0.04</v>
      </c>
      <c r="AT10">
        <v>9</v>
      </c>
    </row>
    <row r="11" spans="1:46" x14ac:dyDescent="0.2">
      <c r="A11">
        <v>4</v>
      </c>
      <c r="B11" t="s">
        <v>9</v>
      </c>
      <c r="C11">
        <v>58.89</v>
      </c>
      <c r="D11">
        <v>3777000</v>
      </c>
      <c r="E11" s="11">
        <v>0.24545875417267154</v>
      </c>
      <c r="F11">
        <v>23.09</v>
      </c>
      <c r="G11" s="10">
        <v>0.12</v>
      </c>
      <c r="H11" s="1">
        <f t="shared" si="0"/>
        <v>2.6635340148820838E-2</v>
      </c>
      <c r="I11" s="5">
        <f t="shared" si="1"/>
        <v>2663534.014882084</v>
      </c>
      <c r="J11" s="6">
        <f t="shared" si="2"/>
        <v>45228.969517440717</v>
      </c>
      <c r="K11" s="4">
        <f t="shared" si="2"/>
        <v>1.1974839692200348E-2</v>
      </c>
      <c r="L11" s="1">
        <f t="shared" si="3"/>
        <v>1.1833139740749468E-2</v>
      </c>
      <c r="M11">
        <f t="shared" si="4"/>
        <v>4.3311973050971941</v>
      </c>
      <c r="N11" s="5">
        <f t="shared" si="5"/>
        <v>1153.6291347291992</v>
      </c>
      <c r="O11" s="3">
        <f t="shared" si="6"/>
        <v>319624.08178585005</v>
      </c>
      <c r="P11" s="5">
        <f t="shared" si="7"/>
        <v>318470.45265112084</v>
      </c>
      <c r="R11" t="s">
        <v>9</v>
      </c>
      <c r="S11">
        <v>1.2164378E-2</v>
      </c>
      <c r="T11">
        <v>9.2278780000000001E-3</v>
      </c>
      <c r="U11">
        <v>1.2484011999999999E-2</v>
      </c>
      <c r="V11">
        <v>1.4048568000000001E-2</v>
      </c>
      <c r="W11">
        <v>1.2096318999999999E-2</v>
      </c>
      <c r="X11">
        <v>7.3057189999999996E-3</v>
      </c>
      <c r="Y11">
        <v>1.2726790999999999E-2</v>
      </c>
      <c r="Z11">
        <v>1.6521503999999999E-2</v>
      </c>
      <c r="AA11">
        <v>1.3360161000000001E-2</v>
      </c>
      <c r="AB11">
        <v>6.0673428000000001E-2</v>
      </c>
      <c r="AC11">
        <v>1.3950921E-2</v>
      </c>
      <c r="AD11">
        <v>1.0731345999999999E-2</v>
      </c>
      <c r="AE11">
        <v>1.0422692000000001E-2</v>
      </c>
      <c r="AF11">
        <v>1.0133469000000001E-2</v>
      </c>
      <c r="AG11">
        <v>8.2744640000000005E-3</v>
      </c>
      <c r="AH11">
        <v>5.7793760000000001E-3</v>
      </c>
      <c r="AI11">
        <v>1.2894783999999999E-2</v>
      </c>
      <c r="AJ11">
        <v>1.1635776E-2</v>
      </c>
      <c r="AK11">
        <v>1.020601E-2</v>
      </c>
      <c r="AL11">
        <v>1.0036688E-2</v>
      </c>
      <c r="AM11">
        <v>1.4016733999999999E-2</v>
      </c>
      <c r="AN11">
        <v>6.6329930000000002E-3</v>
      </c>
      <c r="AO11">
        <v>9.3072239999999994E-3</v>
      </c>
      <c r="AP11">
        <v>1.2162709000000001E-2</v>
      </c>
      <c r="AQ11">
        <v>1.2332696000000001E-2</v>
      </c>
      <c r="AS11">
        <v>0.04</v>
      </c>
      <c r="AT11">
        <v>10</v>
      </c>
    </row>
    <row r="12" spans="1:46" x14ac:dyDescent="0.2">
      <c r="A12">
        <v>4</v>
      </c>
      <c r="B12" t="s">
        <v>10</v>
      </c>
      <c r="C12">
        <v>8.66</v>
      </c>
      <c r="D12">
        <v>13378000</v>
      </c>
      <c r="E12" s="11">
        <v>0.40650953248355692</v>
      </c>
      <c r="F12">
        <v>22.02</v>
      </c>
      <c r="G12" s="10">
        <v>0.21</v>
      </c>
      <c r="H12" s="1">
        <f t="shared" si="0"/>
        <v>5.0000000000000001E-3</v>
      </c>
      <c r="I12" s="5">
        <f t="shared" si="1"/>
        <v>500000</v>
      </c>
      <c r="J12" s="6">
        <f t="shared" si="2"/>
        <v>57736.720554272513</v>
      </c>
      <c r="K12" s="4">
        <f t="shared" si="2"/>
        <v>4.3157961245531857E-3</v>
      </c>
      <c r="L12" s="1">
        <f t="shared" si="3"/>
        <v>4.2972500693576159E-3</v>
      </c>
      <c r="M12">
        <f t="shared" si="4"/>
        <v>2.8764006181805115</v>
      </c>
      <c r="N12" s="5">
        <f t="shared" si="5"/>
        <v>143.82003090902558</v>
      </c>
      <c r="O12" s="3">
        <f t="shared" si="6"/>
        <v>105000</v>
      </c>
      <c r="P12" s="5">
        <f t="shared" si="7"/>
        <v>104856.17996909097</v>
      </c>
      <c r="R12" t="s">
        <v>10</v>
      </c>
      <c r="S12">
        <v>2.2022389E-2</v>
      </c>
      <c r="T12">
        <v>1.3389317E-2</v>
      </c>
      <c r="U12">
        <v>1.7664776E-2</v>
      </c>
      <c r="V12">
        <v>2.0364139E-2</v>
      </c>
      <c r="W12">
        <v>1.5552655E-2</v>
      </c>
      <c r="X12">
        <v>8.8424109999999997E-3</v>
      </c>
      <c r="Y12">
        <v>1.4184054999999999E-2</v>
      </c>
      <c r="Z12">
        <v>1.1288289E-2</v>
      </c>
      <c r="AA12">
        <v>1.6286947999999999E-2</v>
      </c>
      <c r="AB12">
        <v>1.3950921E-2</v>
      </c>
      <c r="AC12">
        <v>0.16642889799999999</v>
      </c>
      <c r="AD12">
        <v>1.5699439999999999E-2</v>
      </c>
      <c r="AE12">
        <v>1.4728309E-2</v>
      </c>
      <c r="AF12">
        <v>1.7044930999999999E-2</v>
      </c>
      <c r="AG12">
        <v>1.0821694999999999E-2</v>
      </c>
      <c r="AH12">
        <v>7.0277580000000003E-3</v>
      </c>
      <c r="AI12">
        <v>3.0299209000000001E-2</v>
      </c>
      <c r="AJ12">
        <v>1.6720395999999998E-2</v>
      </c>
      <c r="AK12">
        <v>1.5732393000000001E-2</v>
      </c>
      <c r="AL12">
        <v>1.1049302E-2</v>
      </c>
      <c r="AM12">
        <v>2.2632334E-2</v>
      </c>
      <c r="AN12">
        <v>1.0128401E-2</v>
      </c>
      <c r="AO12">
        <v>1.6230772000000001E-2</v>
      </c>
      <c r="AP12">
        <v>2.8228306000000002E-2</v>
      </c>
      <c r="AQ12">
        <v>2.1360833999999999E-2</v>
      </c>
      <c r="AS12">
        <v>0.04</v>
      </c>
      <c r="AT12">
        <v>11</v>
      </c>
    </row>
    <row r="13" spans="1:46" x14ac:dyDescent="0.2">
      <c r="A13">
        <v>4</v>
      </c>
      <c r="B13" t="s">
        <v>11</v>
      </c>
      <c r="C13">
        <v>69.75</v>
      </c>
      <c r="D13">
        <v>1680000</v>
      </c>
      <c r="E13" s="11">
        <v>0.21447610589527216</v>
      </c>
      <c r="F13">
        <v>23.01</v>
      </c>
      <c r="G13" s="10">
        <v>0.15</v>
      </c>
      <c r="H13" s="1">
        <f t="shared" si="0"/>
        <v>4.5249219593645869E-2</v>
      </c>
      <c r="I13" s="5">
        <f t="shared" si="1"/>
        <v>4524921.9593645865</v>
      </c>
      <c r="J13" s="6">
        <f t="shared" si="2"/>
        <v>64873.433109169702</v>
      </c>
      <c r="K13" s="4">
        <f t="shared" si="2"/>
        <v>3.8615138755458155E-2</v>
      </c>
      <c r="L13" s="1">
        <f t="shared" si="3"/>
        <v>3.7179449167022094E-2</v>
      </c>
      <c r="M13">
        <f t="shared" si="4"/>
        <v>10.500921243483296</v>
      </c>
      <c r="N13" s="5">
        <f t="shared" si="5"/>
        <v>4751.584912819565</v>
      </c>
      <c r="O13" s="3">
        <f t="shared" si="6"/>
        <v>678738.29390468798</v>
      </c>
      <c r="P13" s="5">
        <f t="shared" si="7"/>
        <v>673986.70899186842</v>
      </c>
      <c r="R13" t="s">
        <v>11</v>
      </c>
      <c r="S13">
        <v>1.2989624999999999E-2</v>
      </c>
      <c r="T13">
        <v>9.4890830000000006E-3</v>
      </c>
      <c r="U13">
        <v>1.3423829999999999E-2</v>
      </c>
      <c r="V13">
        <v>1.52652E-2</v>
      </c>
      <c r="W13">
        <v>1.2800272999999999E-2</v>
      </c>
      <c r="X13">
        <v>7.5612500000000003E-3</v>
      </c>
      <c r="Y13">
        <v>1.3518128000000001E-2</v>
      </c>
      <c r="Z13">
        <v>1.7854774E-2</v>
      </c>
      <c r="AA13">
        <v>1.4721553E-2</v>
      </c>
      <c r="AB13">
        <v>1.0731345999999999E-2</v>
      </c>
      <c r="AC13">
        <v>1.5699439999999999E-2</v>
      </c>
      <c r="AD13">
        <v>4.6404560999999997E-2</v>
      </c>
      <c r="AE13">
        <v>1.1117919E-2</v>
      </c>
      <c r="AF13">
        <v>1.0832688E-2</v>
      </c>
      <c r="AG13">
        <v>8.4308830000000001E-3</v>
      </c>
      <c r="AH13">
        <v>5.8332619999999996E-3</v>
      </c>
      <c r="AI13">
        <v>1.4599045E-2</v>
      </c>
      <c r="AJ13">
        <v>1.225651E-2</v>
      </c>
      <c r="AK13">
        <v>1.0954731000000001E-2</v>
      </c>
      <c r="AL13">
        <v>1.1297681E-2</v>
      </c>
      <c r="AM13">
        <v>1.5139929E-2</v>
      </c>
      <c r="AN13">
        <v>6.6406089999999996E-3</v>
      </c>
      <c r="AO13">
        <v>9.5093629999999998E-3</v>
      </c>
      <c r="AP13">
        <v>1.3560801000000001E-2</v>
      </c>
      <c r="AQ13">
        <v>1.3448009E-2</v>
      </c>
      <c r="AS13">
        <v>0.04</v>
      </c>
      <c r="AT13">
        <v>12</v>
      </c>
    </row>
    <row r="14" spans="1:46" x14ac:dyDescent="0.2">
      <c r="A14">
        <v>4</v>
      </c>
      <c r="B14" t="s">
        <v>12</v>
      </c>
      <c r="C14">
        <v>144.06</v>
      </c>
      <c r="D14">
        <v>1834000</v>
      </c>
      <c r="E14" s="11">
        <v>0.2382225849914319</v>
      </c>
      <c r="F14">
        <v>24.27</v>
      </c>
      <c r="G14" s="10">
        <v>0.14000000000000001</v>
      </c>
      <c r="H14" s="1">
        <f t="shared" si="0"/>
        <v>3.1812812625072642E-2</v>
      </c>
      <c r="I14" s="5">
        <f t="shared" si="1"/>
        <v>3181281.262507264</v>
      </c>
      <c r="J14" s="6">
        <f t="shared" si="2"/>
        <v>22083.029727247424</v>
      </c>
      <c r="K14" s="4">
        <f t="shared" si="2"/>
        <v>1.2040910429251594E-2</v>
      </c>
      <c r="L14" s="1">
        <f t="shared" si="3"/>
        <v>1.1897651868781183E-2</v>
      </c>
      <c r="M14">
        <f t="shared" si="4"/>
        <v>4.2761033083716109</v>
      </c>
      <c r="N14" s="5">
        <f t="shared" si="5"/>
        <v>1360.3487331467927</v>
      </c>
      <c r="O14" s="3">
        <f t="shared" si="6"/>
        <v>445379.376751017</v>
      </c>
      <c r="P14" s="5">
        <f t="shared" si="7"/>
        <v>444019.02801787021</v>
      </c>
      <c r="R14" t="s">
        <v>12</v>
      </c>
      <c r="S14">
        <v>1.2630687E-2</v>
      </c>
      <c r="T14">
        <v>9.5118640000000001E-3</v>
      </c>
      <c r="U14">
        <v>1.2908685E-2</v>
      </c>
      <c r="V14">
        <v>1.4544969E-2</v>
      </c>
      <c r="W14">
        <v>1.2472197000000001E-2</v>
      </c>
      <c r="X14">
        <v>7.5125890000000001E-3</v>
      </c>
      <c r="Y14">
        <v>1.3099230999999999E-2</v>
      </c>
      <c r="Z14">
        <v>1.6940710000000001E-2</v>
      </c>
      <c r="AA14">
        <v>1.3810118E-2</v>
      </c>
      <c r="AB14">
        <v>1.0422692000000001E-2</v>
      </c>
      <c r="AC14">
        <v>1.4728309E-2</v>
      </c>
      <c r="AD14">
        <v>1.1117919E-2</v>
      </c>
      <c r="AE14">
        <v>5.7104507999999998E-2</v>
      </c>
      <c r="AF14">
        <v>1.0506725999999999E-2</v>
      </c>
      <c r="AG14">
        <v>8.5083220000000005E-3</v>
      </c>
      <c r="AH14">
        <v>5.9317909999999996E-3</v>
      </c>
      <c r="AI14">
        <v>1.3540416E-2</v>
      </c>
      <c r="AJ14">
        <v>1.2014726E-2</v>
      </c>
      <c r="AK14">
        <v>1.0567653E-2</v>
      </c>
      <c r="AL14">
        <v>1.0378722E-2</v>
      </c>
      <c r="AM14">
        <v>1.4533574E-2</v>
      </c>
      <c r="AN14">
        <v>6.8292259999999999E-3</v>
      </c>
      <c r="AO14">
        <v>9.6226279999999994E-3</v>
      </c>
      <c r="AP14">
        <v>1.2750897000000001E-2</v>
      </c>
      <c r="AQ14">
        <v>1.281536E-2</v>
      </c>
      <c r="AS14">
        <v>0.04</v>
      </c>
      <c r="AT14">
        <v>13</v>
      </c>
    </row>
    <row r="15" spans="1:46" x14ac:dyDescent="0.2">
      <c r="A15">
        <v>4</v>
      </c>
      <c r="B15" t="s">
        <v>13</v>
      </c>
      <c r="C15">
        <v>55.21</v>
      </c>
      <c r="D15">
        <v>566000</v>
      </c>
      <c r="E15" s="11">
        <v>0.1414213562373095</v>
      </c>
      <c r="F15">
        <v>23.03</v>
      </c>
      <c r="G15" s="10">
        <v>0.06</v>
      </c>
      <c r="H15" s="1">
        <f t="shared" si="0"/>
        <v>1.2525869286126416E-2</v>
      </c>
      <c r="I15" s="5">
        <f t="shared" si="1"/>
        <v>1252586.9286126415</v>
      </c>
      <c r="J15" s="6">
        <f t="shared" si="2"/>
        <v>22687.682097675086</v>
      </c>
      <c r="K15" s="4">
        <f t="shared" si="2"/>
        <v>4.0084243988825242E-2</v>
      </c>
      <c r="L15" s="1">
        <f t="shared" si="3"/>
        <v>3.8539420456075973E-2</v>
      </c>
      <c r="M15">
        <f t="shared" si="4"/>
        <v>8.5746762952655402</v>
      </c>
      <c r="N15" s="5">
        <f t="shared" si="5"/>
        <v>1074.0527444534287</v>
      </c>
      <c r="O15" s="3">
        <f t="shared" si="6"/>
        <v>75155.215716758496</v>
      </c>
      <c r="P15" s="5">
        <f t="shared" si="7"/>
        <v>74081.162972305072</v>
      </c>
      <c r="R15" t="s">
        <v>13</v>
      </c>
      <c r="S15">
        <v>1.3026874000000001E-2</v>
      </c>
      <c r="T15">
        <v>9.4450660000000002E-3</v>
      </c>
      <c r="U15">
        <v>1.2562039000000001E-2</v>
      </c>
      <c r="V15">
        <v>1.4174340000000001E-2</v>
      </c>
      <c r="W15">
        <v>1.1974423E-2</v>
      </c>
      <c r="X15">
        <v>7.1863710000000004E-3</v>
      </c>
      <c r="Y15">
        <v>1.2239831E-2</v>
      </c>
      <c r="Z15">
        <v>1.4681994E-2</v>
      </c>
      <c r="AA15">
        <v>1.2940202E-2</v>
      </c>
      <c r="AB15">
        <v>1.0133469000000001E-2</v>
      </c>
      <c r="AC15">
        <v>1.7044930999999999E-2</v>
      </c>
      <c r="AD15">
        <v>1.0832688E-2</v>
      </c>
      <c r="AE15">
        <v>1.0506725999999999E-2</v>
      </c>
      <c r="AF15">
        <v>2.0000002999999999E-2</v>
      </c>
      <c r="AG15">
        <v>8.3002260000000008E-3</v>
      </c>
      <c r="AH15">
        <v>5.7266840000000001E-3</v>
      </c>
      <c r="AI15">
        <v>1.4709656999999999E-2</v>
      </c>
      <c r="AJ15">
        <v>1.1812018000000001E-2</v>
      </c>
      <c r="AK15">
        <v>1.0479732E-2</v>
      </c>
      <c r="AL15">
        <v>9.4740680000000004E-3</v>
      </c>
      <c r="AM15">
        <v>1.4532249000000001E-2</v>
      </c>
      <c r="AN15">
        <v>6.9135780000000001E-3</v>
      </c>
      <c r="AO15">
        <v>9.9745279999999999E-3</v>
      </c>
      <c r="AP15">
        <v>1.3870406E-2</v>
      </c>
      <c r="AQ15">
        <v>1.2984974E-2</v>
      </c>
      <c r="AS15">
        <v>0.04</v>
      </c>
      <c r="AT15">
        <v>14</v>
      </c>
    </row>
    <row r="16" spans="1:46" x14ac:dyDescent="0.2">
      <c r="A16">
        <v>4</v>
      </c>
      <c r="B16" t="s">
        <v>14</v>
      </c>
      <c r="C16">
        <v>68.02</v>
      </c>
      <c r="D16">
        <v>3051000</v>
      </c>
      <c r="E16" s="11">
        <v>0.13874436925511607</v>
      </c>
      <c r="F16">
        <v>24.82</v>
      </c>
      <c r="G16" s="10">
        <v>7.0000000000000007E-2</v>
      </c>
      <c r="H16" s="1">
        <f t="shared" si="0"/>
        <v>0.13558637266559312</v>
      </c>
      <c r="I16" s="5">
        <f t="shared" si="1"/>
        <v>13558637.266559312</v>
      </c>
      <c r="J16" s="6">
        <f t="shared" si="2"/>
        <v>199333.09712671733</v>
      </c>
      <c r="K16" s="4">
        <f t="shared" si="2"/>
        <v>6.5333692929110898E-2</v>
      </c>
      <c r="L16" s="1">
        <f t="shared" si="3"/>
        <v>6.1326975165384462E-2</v>
      </c>
      <c r="M16">
        <f t="shared" si="4"/>
        <v>13.181501678538764</v>
      </c>
      <c r="N16" s="5">
        <f t="shared" si="5"/>
        <v>17872.319988784981</v>
      </c>
      <c r="O16" s="3">
        <f t="shared" si="6"/>
        <v>949104.60865915194</v>
      </c>
      <c r="P16" s="5">
        <f t="shared" si="7"/>
        <v>931232.28867036698</v>
      </c>
      <c r="R16" t="s">
        <v>14</v>
      </c>
      <c r="S16">
        <v>1.0012559000000001E-2</v>
      </c>
      <c r="T16">
        <v>7.9634219999999995E-3</v>
      </c>
      <c r="U16">
        <v>1.0063574E-2</v>
      </c>
      <c r="V16">
        <v>1.1144744E-2</v>
      </c>
      <c r="W16">
        <v>9.9659359999999999E-3</v>
      </c>
      <c r="X16">
        <v>6.2104170000000002E-3</v>
      </c>
      <c r="Y16">
        <v>1.0380172E-2</v>
      </c>
      <c r="Z16">
        <v>1.296371E-2</v>
      </c>
      <c r="AA16">
        <v>1.0291391E-2</v>
      </c>
      <c r="AB16">
        <v>8.2744640000000005E-3</v>
      </c>
      <c r="AC16">
        <v>1.0821694999999999E-2</v>
      </c>
      <c r="AD16">
        <v>8.4308830000000001E-3</v>
      </c>
      <c r="AE16">
        <v>8.5083220000000005E-3</v>
      </c>
      <c r="AF16">
        <v>8.3002260000000008E-3</v>
      </c>
      <c r="AG16">
        <v>1.945115E-2</v>
      </c>
      <c r="AH16">
        <v>5.0907019999999999E-3</v>
      </c>
      <c r="AI16">
        <v>9.7652720000000002E-3</v>
      </c>
      <c r="AJ16">
        <v>9.6899499999999993E-3</v>
      </c>
      <c r="AK16">
        <v>8.2771019999999997E-3</v>
      </c>
      <c r="AL16">
        <v>7.4223680000000004E-3</v>
      </c>
      <c r="AM16">
        <v>1.1275228E-2</v>
      </c>
      <c r="AN16">
        <v>5.949635E-3</v>
      </c>
      <c r="AO16">
        <v>8.1609860000000003E-3</v>
      </c>
      <c r="AP16">
        <v>9.4538650000000005E-3</v>
      </c>
      <c r="AQ16">
        <v>9.7984189999999992E-3</v>
      </c>
      <c r="AS16">
        <v>0.04</v>
      </c>
      <c r="AT16">
        <v>15</v>
      </c>
    </row>
    <row r="17" spans="1:56" x14ac:dyDescent="0.2">
      <c r="A17">
        <v>4</v>
      </c>
      <c r="B17" t="s">
        <v>15</v>
      </c>
      <c r="C17">
        <v>111.94</v>
      </c>
      <c r="D17">
        <v>1027000</v>
      </c>
      <c r="E17" s="11">
        <v>0.13964240043768941</v>
      </c>
      <c r="F17">
        <v>23.51</v>
      </c>
      <c r="G17" s="10">
        <v>0.1</v>
      </c>
      <c r="H17" s="1">
        <f t="shared" si="0"/>
        <v>0.25</v>
      </c>
      <c r="I17" s="5">
        <f t="shared" si="1"/>
        <v>25000000</v>
      </c>
      <c r="J17" s="6">
        <f t="shared" si="2"/>
        <v>223333.92889047705</v>
      </c>
      <c r="K17" s="4">
        <f t="shared" si="2"/>
        <v>0.2174624429313311</v>
      </c>
      <c r="L17" s="1">
        <f t="shared" si="3"/>
        <v>0.17861942616294466</v>
      </c>
      <c r="M17">
        <f t="shared" si="4"/>
        <v>40.078980579600113</v>
      </c>
      <c r="N17" s="5">
        <f t="shared" si="5"/>
        <v>100197.45144900028</v>
      </c>
      <c r="O17" s="3">
        <f t="shared" si="6"/>
        <v>2500000</v>
      </c>
      <c r="P17" s="5">
        <f t="shared" si="7"/>
        <v>2399802.5485509997</v>
      </c>
      <c r="R17" t="s">
        <v>15</v>
      </c>
      <c r="S17">
        <v>6.8772659999999999E-3</v>
      </c>
      <c r="T17">
        <v>5.5859569999999999E-3</v>
      </c>
      <c r="U17">
        <v>7.0030630000000003E-3</v>
      </c>
      <c r="V17">
        <v>7.7264040000000001E-3</v>
      </c>
      <c r="W17">
        <v>6.9924239999999997E-3</v>
      </c>
      <c r="X17">
        <v>4.387981E-3</v>
      </c>
      <c r="Y17">
        <v>7.3234349999999997E-3</v>
      </c>
      <c r="Z17">
        <v>9.2645120000000008E-3</v>
      </c>
      <c r="AA17">
        <v>7.1744640000000002E-3</v>
      </c>
      <c r="AB17">
        <v>5.7793760000000001E-3</v>
      </c>
      <c r="AC17">
        <v>7.0277580000000003E-3</v>
      </c>
      <c r="AD17">
        <v>5.8332619999999996E-3</v>
      </c>
      <c r="AE17">
        <v>5.9317909999999996E-3</v>
      </c>
      <c r="AF17">
        <v>5.7266840000000001E-3</v>
      </c>
      <c r="AG17">
        <v>5.0907019999999999E-3</v>
      </c>
      <c r="AH17">
        <v>1.9632863E-2</v>
      </c>
      <c r="AI17">
        <v>6.4555020000000001E-3</v>
      </c>
      <c r="AJ17">
        <v>6.7679089999999999E-3</v>
      </c>
      <c r="AK17">
        <v>5.7350980000000001E-3</v>
      </c>
      <c r="AL17">
        <v>5.1714609999999996E-3</v>
      </c>
      <c r="AM17">
        <v>7.7794040000000002E-3</v>
      </c>
      <c r="AN17">
        <v>4.1828660000000004E-3</v>
      </c>
      <c r="AO17">
        <v>5.6738229999999997E-3</v>
      </c>
      <c r="AP17">
        <v>6.2902610000000001E-3</v>
      </c>
      <c r="AQ17">
        <v>6.7143009999999998E-3</v>
      </c>
      <c r="AS17">
        <v>0.04</v>
      </c>
      <c r="AT17">
        <v>16</v>
      </c>
    </row>
    <row r="18" spans="1:56" x14ac:dyDescent="0.2">
      <c r="A18">
        <v>4</v>
      </c>
      <c r="B18" t="s">
        <v>16</v>
      </c>
      <c r="C18">
        <v>47.43</v>
      </c>
      <c r="D18">
        <v>1617000</v>
      </c>
      <c r="E18" s="11">
        <v>0.21505813167606566</v>
      </c>
      <c r="F18">
        <v>22.83</v>
      </c>
      <c r="G18" s="10">
        <v>0.09</v>
      </c>
      <c r="H18" s="1">
        <f t="shared" si="0"/>
        <v>5.0000000000000001E-3</v>
      </c>
      <c r="I18" s="5">
        <f t="shared" si="1"/>
        <v>500000</v>
      </c>
      <c r="J18" s="6">
        <f t="shared" si="2"/>
        <v>10541.851149061775</v>
      </c>
      <c r="K18" s="4">
        <f t="shared" si="2"/>
        <v>6.519388465715383E-3</v>
      </c>
      <c r="L18" s="1">
        <f t="shared" si="3"/>
        <v>6.4771613348185899E-3</v>
      </c>
      <c r="M18">
        <f t="shared" si="4"/>
        <v>2.6116361488330635</v>
      </c>
      <c r="N18" s="5">
        <f t="shared" si="5"/>
        <v>130.58180744165318</v>
      </c>
      <c r="O18" s="3">
        <f t="shared" si="6"/>
        <v>45000</v>
      </c>
      <c r="P18" s="5">
        <f t="shared" si="7"/>
        <v>44869.418192558347</v>
      </c>
      <c r="R18" t="s">
        <v>16</v>
      </c>
      <c r="S18">
        <v>1.8508153999999999E-2</v>
      </c>
      <c r="T18">
        <v>1.1734583E-2</v>
      </c>
      <c r="U18">
        <v>1.6366851000000002E-2</v>
      </c>
      <c r="V18">
        <v>1.8889063000000001E-2</v>
      </c>
      <c r="W18">
        <v>1.4727825999999999E-2</v>
      </c>
      <c r="X18">
        <v>8.3743129999999995E-3</v>
      </c>
      <c r="Y18">
        <v>1.434768E-2</v>
      </c>
      <c r="Z18">
        <v>1.5050312E-2</v>
      </c>
      <c r="AA18">
        <v>1.6509431000000001E-2</v>
      </c>
      <c r="AB18">
        <v>1.2894783999999999E-2</v>
      </c>
      <c r="AC18">
        <v>3.0299209000000001E-2</v>
      </c>
      <c r="AD18">
        <v>1.4599045E-2</v>
      </c>
      <c r="AE18">
        <v>1.3540416E-2</v>
      </c>
      <c r="AF18">
        <v>1.4709656999999999E-2</v>
      </c>
      <c r="AG18">
        <v>9.7652720000000002E-3</v>
      </c>
      <c r="AH18">
        <v>6.4555020000000001E-3</v>
      </c>
      <c r="AI18">
        <v>4.6550679999999997E-2</v>
      </c>
      <c r="AJ18">
        <v>1.5074436E-2</v>
      </c>
      <c r="AK18">
        <v>1.4073456E-2</v>
      </c>
      <c r="AL18">
        <v>1.2044150999999999E-2</v>
      </c>
      <c r="AM18">
        <v>2.0018623999999999E-2</v>
      </c>
      <c r="AN18">
        <v>8.4874570000000003E-3</v>
      </c>
      <c r="AO18">
        <v>1.3274078E-2</v>
      </c>
      <c r="AP18">
        <v>2.2682687E-2</v>
      </c>
      <c r="AQ18">
        <v>1.8579155999999999E-2</v>
      </c>
      <c r="AS18">
        <v>0.04</v>
      </c>
      <c r="AT18">
        <v>17</v>
      </c>
    </row>
    <row r="19" spans="1:56" x14ac:dyDescent="0.2">
      <c r="A19">
        <v>4</v>
      </c>
      <c r="B19" t="s">
        <v>17</v>
      </c>
      <c r="C19">
        <v>62.41</v>
      </c>
      <c r="D19">
        <v>13844000</v>
      </c>
      <c r="E19" s="11">
        <v>0.18303005217723128</v>
      </c>
      <c r="F19">
        <v>25.74</v>
      </c>
      <c r="G19" s="10">
        <v>0.08</v>
      </c>
      <c r="H19" s="1">
        <f t="shared" si="0"/>
        <v>5.0000000000000001E-3</v>
      </c>
      <c r="I19" s="5">
        <f t="shared" si="1"/>
        <v>500000</v>
      </c>
      <c r="J19" s="6">
        <f t="shared" si="2"/>
        <v>8011.5366127223206</v>
      </c>
      <c r="K19" s="4">
        <f t="shared" si="2"/>
        <v>5.7870099774070508E-4</v>
      </c>
      <c r="L19" s="1">
        <f t="shared" si="3"/>
        <v>5.7836629658781016E-4</v>
      </c>
      <c r="M19">
        <f t="shared" si="4"/>
        <v>0.66312378089730528</v>
      </c>
      <c r="N19" s="5">
        <f t="shared" si="5"/>
        <v>33.156189044865265</v>
      </c>
      <c r="O19" s="3">
        <f t="shared" si="6"/>
        <v>40000</v>
      </c>
      <c r="P19" s="5">
        <f t="shared" si="7"/>
        <v>39966.843810955135</v>
      </c>
      <c r="R19" t="s">
        <v>17</v>
      </c>
      <c r="S19">
        <v>1.4267887999999999E-2</v>
      </c>
      <c r="T19">
        <v>1.083219E-2</v>
      </c>
      <c r="U19">
        <v>1.4338780000000001E-2</v>
      </c>
      <c r="V19">
        <v>1.6081899E-2</v>
      </c>
      <c r="W19">
        <v>1.3914826999999999E-2</v>
      </c>
      <c r="X19">
        <v>8.4597860000000004E-3</v>
      </c>
      <c r="Y19">
        <v>1.4501042E-2</v>
      </c>
      <c r="Z19">
        <v>1.8300312999999999E-2</v>
      </c>
      <c r="AA19">
        <v>1.5031246999999999E-2</v>
      </c>
      <c r="AB19">
        <v>1.1635776E-2</v>
      </c>
      <c r="AC19">
        <v>1.6720395999999998E-2</v>
      </c>
      <c r="AD19">
        <v>1.225651E-2</v>
      </c>
      <c r="AE19">
        <v>1.2014726E-2</v>
      </c>
      <c r="AF19">
        <v>1.1812018000000001E-2</v>
      </c>
      <c r="AG19">
        <v>9.6899499999999993E-3</v>
      </c>
      <c r="AH19">
        <v>6.7679089999999999E-3</v>
      </c>
      <c r="AI19">
        <v>1.5074436E-2</v>
      </c>
      <c r="AJ19">
        <v>3.3584850999999999E-2</v>
      </c>
      <c r="AK19">
        <v>1.1799504000000001E-2</v>
      </c>
      <c r="AL19">
        <v>1.1111434999999999E-2</v>
      </c>
      <c r="AM19">
        <v>1.6211475999999999E-2</v>
      </c>
      <c r="AN19">
        <v>7.9022469999999994E-3</v>
      </c>
      <c r="AO19">
        <v>1.1098227E-2</v>
      </c>
      <c r="AP19">
        <v>1.4304641999999999E-2</v>
      </c>
      <c r="AQ19">
        <v>1.4276027E-2</v>
      </c>
      <c r="AS19">
        <v>0.04</v>
      </c>
      <c r="AT19">
        <v>18</v>
      </c>
    </row>
    <row r="20" spans="1:56" x14ac:dyDescent="0.2">
      <c r="A20">
        <v>4</v>
      </c>
      <c r="B20" t="s">
        <v>18</v>
      </c>
      <c r="C20">
        <v>95.52</v>
      </c>
      <c r="D20">
        <v>1635000</v>
      </c>
      <c r="E20" s="11">
        <v>0.18641351882307247</v>
      </c>
      <c r="F20">
        <v>24.21</v>
      </c>
      <c r="G20" s="10">
        <v>0.14000000000000001</v>
      </c>
      <c r="H20" s="1">
        <f t="shared" si="0"/>
        <v>6.7240718071956959E-2</v>
      </c>
      <c r="I20" s="5">
        <f t="shared" si="1"/>
        <v>6724071.807195696</v>
      </c>
      <c r="J20" s="6">
        <f t="shared" si="2"/>
        <v>70394.386591244722</v>
      </c>
      <c r="K20" s="4">
        <f t="shared" si="2"/>
        <v>4.3054670698009001E-2</v>
      </c>
      <c r="L20" s="1">
        <f t="shared" si="3"/>
        <v>4.1277482290738361E-2</v>
      </c>
      <c r="M20">
        <f t="shared" si="4"/>
        <v>10.682774569201984</v>
      </c>
      <c r="N20" s="5">
        <f t="shared" si="5"/>
        <v>7183.1743303398207</v>
      </c>
      <c r="O20" s="3">
        <f t="shared" si="6"/>
        <v>941370.05300739757</v>
      </c>
      <c r="P20" s="5">
        <f t="shared" si="7"/>
        <v>934186.8786770578</v>
      </c>
      <c r="R20" t="s">
        <v>18</v>
      </c>
      <c r="S20">
        <v>1.2694359000000001E-2</v>
      </c>
      <c r="T20">
        <v>9.3394289999999998E-3</v>
      </c>
      <c r="U20">
        <v>1.2672320000000001E-2</v>
      </c>
      <c r="V20">
        <v>1.4315746000000001E-2</v>
      </c>
      <c r="W20">
        <v>1.2137656E-2</v>
      </c>
      <c r="X20">
        <v>7.2692859999999998E-3</v>
      </c>
      <c r="Y20">
        <v>1.2614465E-2</v>
      </c>
      <c r="Z20">
        <v>1.5883161999999999E-2</v>
      </c>
      <c r="AA20">
        <v>1.3410089E-2</v>
      </c>
      <c r="AB20">
        <v>1.020601E-2</v>
      </c>
      <c r="AC20">
        <v>1.5732393000000001E-2</v>
      </c>
      <c r="AD20">
        <v>1.0954731000000001E-2</v>
      </c>
      <c r="AE20">
        <v>1.0567653E-2</v>
      </c>
      <c r="AF20">
        <v>1.0479732E-2</v>
      </c>
      <c r="AG20">
        <v>8.2771019999999997E-3</v>
      </c>
      <c r="AH20">
        <v>5.7350980000000001E-3</v>
      </c>
      <c r="AI20">
        <v>1.4073456E-2</v>
      </c>
      <c r="AJ20">
        <v>1.1799504000000001E-2</v>
      </c>
      <c r="AK20">
        <v>3.5015797000000001E-2</v>
      </c>
      <c r="AL20">
        <v>1.0014810000000001E-2</v>
      </c>
      <c r="AM20">
        <v>1.4444339E-2</v>
      </c>
      <c r="AN20">
        <v>6.7289020000000001E-3</v>
      </c>
      <c r="AO20">
        <v>9.6149249999999999E-3</v>
      </c>
      <c r="AP20">
        <v>1.3223132E-2</v>
      </c>
      <c r="AQ20">
        <v>1.2831832E-2</v>
      </c>
      <c r="AS20">
        <v>0.04</v>
      </c>
      <c r="AT20">
        <v>19</v>
      </c>
    </row>
    <row r="21" spans="1:56" x14ac:dyDescent="0.2">
      <c r="A21">
        <v>4</v>
      </c>
      <c r="B21" t="s">
        <v>19</v>
      </c>
      <c r="C21">
        <v>742.23</v>
      </c>
      <c r="D21">
        <v>463000</v>
      </c>
      <c r="E21" s="11">
        <v>0.26972207918522356</v>
      </c>
      <c r="F21">
        <v>23.61</v>
      </c>
      <c r="G21" s="10">
        <v>0.15</v>
      </c>
      <c r="H21" s="1">
        <f t="shared" si="0"/>
        <v>3.960066380236444E-2</v>
      </c>
      <c r="I21" s="5">
        <f t="shared" si="1"/>
        <v>3960066.3802364441</v>
      </c>
      <c r="J21" s="6">
        <f t="shared" si="2"/>
        <v>5335.3628662765504</v>
      </c>
      <c r="K21" s="4">
        <f t="shared" si="2"/>
        <v>1.1523461914204213E-2</v>
      </c>
      <c r="L21" s="1">
        <f t="shared" si="3"/>
        <v>1.1392184509884967E-2</v>
      </c>
      <c r="M21">
        <f t="shared" si="4"/>
        <v>4.4390975628706615</v>
      </c>
      <c r="N21" s="5">
        <f t="shared" si="5"/>
        <v>1757.9121017313641</v>
      </c>
      <c r="O21" s="3">
        <f t="shared" si="6"/>
        <v>594009.95703546656</v>
      </c>
      <c r="P21" s="5">
        <f t="shared" si="7"/>
        <v>592252.04493373516</v>
      </c>
      <c r="R21" t="s">
        <v>19</v>
      </c>
      <c r="S21">
        <v>1.0947798E-2</v>
      </c>
      <c r="T21">
        <v>8.1760359999999994E-3</v>
      </c>
      <c r="U21">
        <v>1.2705374E-2</v>
      </c>
      <c r="V21">
        <v>1.4592612E-2</v>
      </c>
      <c r="W21">
        <v>1.2159328E-2</v>
      </c>
      <c r="X21">
        <v>7.0373629999999996E-3</v>
      </c>
      <c r="Y21">
        <v>1.3467321000000001E-2</v>
      </c>
      <c r="Z21">
        <v>2.0053793E-2</v>
      </c>
      <c r="AA21">
        <v>1.5177207999999999E-2</v>
      </c>
      <c r="AB21">
        <v>1.0036688E-2</v>
      </c>
      <c r="AC21">
        <v>1.1049302E-2</v>
      </c>
      <c r="AD21">
        <v>1.1297681E-2</v>
      </c>
      <c r="AE21">
        <v>1.0378722E-2</v>
      </c>
      <c r="AF21">
        <v>9.4740680000000004E-3</v>
      </c>
      <c r="AG21">
        <v>7.4223680000000004E-3</v>
      </c>
      <c r="AH21">
        <v>5.1714609999999996E-3</v>
      </c>
      <c r="AI21">
        <v>1.2044150999999999E-2</v>
      </c>
      <c r="AJ21">
        <v>1.1111434999999999E-2</v>
      </c>
      <c r="AK21">
        <v>1.0014810000000001E-2</v>
      </c>
      <c r="AL21">
        <v>7.3253047000000002E-2</v>
      </c>
      <c r="AM21">
        <v>1.3747206999999999E-2</v>
      </c>
      <c r="AN21">
        <v>5.280791E-3</v>
      </c>
      <c r="AO21">
        <v>7.4083389999999999E-3</v>
      </c>
      <c r="AP21">
        <v>1.0900241999999999E-2</v>
      </c>
      <c r="AQ21">
        <v>1.2067761E-2</v>
      </c>
      <c r="AS21">
        <v>0.04</v>
      </c>
      <c r="AT21">
        <v>20</v>
      </c>
    </row>
    <row r="22" spans="1:56" x14ac:dyDescent="0.2">
      <c r="A22">
        <v>4</v>
      </c>
      <c r="B22" t="s">
        <v>20</v>
      </c>
      <c r="C22">
        <v>128.54</v>
      </c>
      <c r="D22">
        <v>1495000</v>
      </c>
      <c r="E22" s="11">
        <v>0.20615528128088303</v>
      </c>
      <c r="F22">
        <v>23.59</v>
      </c>
      <c r="G22" s="10">
        <v>0.1</v>
      </c>
      <c r="H22" s="1">
        <f t="shared" si="0"/>
        <v>5.0000000000000036E-3</v>
      </c>
      <c r="I22" s="5">
        <f t="shared" si="1"/>
        <v>500000.00000000035</v>
      </c>
      <c r="J22" s="6">
        <f t="shared" si="2"/>
        <v>3889.8397386027727</v>
      </c>
      <c r="K22" s="4">
        <f t="shared" si="2"/>
        <v>2.601899490704196E-3</v>
      </c>
      <c r="L22" s="1">
        <f t="shared" si="3"/>
        <v>2.5951471785819412E-3</v>
      </c>
      <c r="M22">
        <f t="shared" si="4"/>
        <v>1.4601561874853908</v>
      </c>
      <c r="N22" s="5">
        <f t="shared" si="5"/>
        <v>73.007809374269584</v>
      </c>
      <c r="O22" s="3">
        <f t="shared" si="6"/>
        <v>50000.000000000036</v>
      </c>
      <c r="P22" s="5">
        <f t="shared" si="7"/>
        <v>49926.992190625766</v>
      </c>
      <c r="R22" t="s">
        <v>20</v>
      </c>
      <c r="S22">
        <v>1.7665538000000001E-2</v>
      </c>
      <c r="T22">
        <v>1.2795332E-2</v>
      </c>
      <c r="U22">
        <v>1.7448405E-2</v>
      </c>
      <c r="V22">
        <v>1.9760361000000001E-2</v>
      </c>
      <c r="W22">
        <v>1.6608996000000001E-2</v>
      </c>
      <c r="X22">
        <v>9.892863E-3</v>
      </c>
      <c r="Y22">
        <v>1.7177246E-2</v>
      </c>
      <c r="Z22">
        <v>2.137505E-2</v>
      </c>
      <c r="AA22">
        <v>1.841775E-2</v>
      </c>
      <c r="AB22">
        <v>1.4016733999999999E-2</v>
      </c>
      <c r="AC22">
        <v>2.2632334E-2</v>
      </c>
      <c r="AD22">
        <v>1.5139929E-2</v>
      </c>
      <c r="AE22">
        <v>1.4533574E-2</v>
      </c>
      <c r="AF22">
        <v>1.4532249000000001E-2</v>
      </c>
      <c r="AG22">
        <v>1.1275228E-2</v>
      </c>
      <c r="AH22">
        <v>7.7794040000000002E-3</v>
      </c>
      <c r="AI22">
        <v>2.0018623999999999E-2</v>
      </c>
      <c r="AJ22">
        <v>1.6211475999999999E-2</v>
      </c>
      <c r="AK22">
        <v>1.4444339E-2</v>
      </c>
      <c r="AL22">
        <v>1.3747206999999999E-2</v>
      </c>
      <c r="AM22">
        <v>4.2639700000000003E-2</v>
      </c>
      <c r="AN22">
        <v>9.2077789999999993E-3</v>
      </c>
      <c r="AO22">
        <v>1.3278181E-2</v>
      </c>
      <c r="AP22">
        <v>1.8758911E-2</v>
      </c>
      <c r="AQ22">
        <v>1.7866788000000002E-2</v>
      </c>
      <c r="AS22">
        <v>0.04</v>
      </c>
      <c r="AT22">
        <v>21</v>
      </c>
    </row>
    <row r="23" spans="1:56" x14ac:dyDescent="0.2">
      <c r="A23">
        <v>4</v>
      </c>
      <c r="B23" t="s">
        <v>21</v>
      </c>
      <c r="C23">
        <v>33.97</v>
      </c>
      <c r="D23">
        <v>2609000</v>
      </c>
      <c r="E23" s="11">
        <v>0.16658331248957681</v>
      </c>
      <c r="F23">
        <v>23</v>
      </c>
      <c r="G23" s="10">
        <v>0.08</v>
      </c>
      <c r="H23" s="1">
        <f t="shared" si="0"/>
        <v>0.13619749341274445</v>
      </c>
      <c r="I23" s="5">
        <f t="shared" si="1"/>
        <v>13619749.341274446</v>
      </c>
      <c r="J23" s="6">
        <f t="shared" si="2"/>
        <v>400934.62882762571</v>
      </c>
      <c r="K23" s="4">
        <f t="shared" si="2"/>
        <v>0.15367367912135904</v>
      </c>
      <c r="L23" s="1">
        <f t="shared" si="3"/>
        <v>0.13320376628371838</v>
      </c>
      <c r="M23">
        <f t="shared" si="4"/>
        <v>32.237344748616785</v>
      </c>
      <c r="N23" s="5">
        <f t="shared" si="5"/>
        <v>43906.455490441069</v>
      </c>
      <c r="O23" s="3">
        <f t="shared" si="6"/>
        <v>1089579.9473019557</v>
      </c>
      <c r="P23" s="5">
        <f t="shared" si="7"/>
        <v>1045673.4918115146</v>
      </c>
      <c r="R23" t="s">
        <v>21</v>
      </c>
      <c r="S23">
        <v>8.4996010000000007E-3</v>
      </c>
      <c r="T23">
        <v>6.6481750000000001E-3</v>
      </c>
      <c r="U23">
        <v>8.0126929999999996E-3</v>
      </c>
      <c r="V23">
        <v>8.8200180000000006E-3</v>
      </c>
      <c r="W23">
        <v>7.913359E-3</v>
      </c>
      <c r="X23">
        <v>4.9855979999999999E-3</v>
      </c>
      <c r="Y23">
        <v>7.9968969999999993E-3</v>
      </c>
      <c r="Z23">
        <v>9.0834869999999995E-3</v>
      </c>
      <c r="AA23">
        <v>7.7125079999999999E-3</v>
      </c>
      <c r="AB23">
        <v>6.6329930000000002E-3</v>
      </c>
      <c r="AC23">
        <v>1.0128401E-2</v>
      </c>
      <c r="AD23">
        <v>6.6406089999999996E-3</v>
      </c>
      <c r="AE23">
        <v>6.8292259999999999E-3</v>
      </c>
      <c r="AF23">
        <v>6.9135780000000001E-3</v>
      </c>
      <c r="AG23">
        <v>5.949635E-3</v>
      </c>
      <c r="AH23">
        <v>4.1828660000000004E-3</v>
      </c>
      <c r="AI23">
        <v>8.4874570000000003E-3</v>
      </c>
      <c r="AJ23">
        <v>7.9022469999999994E-3</v>
      </c>
      <c r="AK23">
        <v>6.7289020000000001E-3</v>
      </c>
      <c r="AL23">
        <v>5.280791E-3</v>
      </c>
      <c r="AM23">
        <v>9.2077789999999993E-3</v>
      </c>
      <c r="AN23">
        <v>2.7936107000000002E-2</v>
      </c>
      <c r="AO23">
        <v>7.1134869999999999E-3</v>
      </c>
      <c r="AP23">
        <v>8.2977439999999993E-3</v>
      </c>
      <c r="AQ23">
        <v>8.0650670000000004E-3</v>
      </c>
      <c r="AS23">
        <v>0.04</v>
      </c>
      <c r="AT23">
        <v>22</v>
      </c>
    </row>
    <row r="24" spans="1:56" x14ac:dyDescent="0.2">
      <c r="A24">
        <v>4</v>
      </c>
      <c r="B24" t="s">
        <v>22</v>
      </c>
      <c r="C24">
        <v>19.09</v>
      </c>
      <c r="D24">
        <v>3888000</v>
      </c>
      <c r="E24" s="11">
        <v>0.18371173070873836</v>
      </c>
      <c r="F24">
        <v>22.72</v>
      </c>
      <c r="G24" s="10">
        <v>7.0000000000000007E-2</v>
      </c>
      <c r="H24" s="1">
        <f t="shared" si="0"/>
        <v>2.9517152811841984E-2</v>
      </c>
      <c r="I24" s="5">
        <f t="shared" si="1"/>
        <v>2951715.2811841983</v>
      </c>
      <c r="J24" s="6">
        <f t="shared" si="2"/>
        <v>154621.02049157667</v>
      </c>
      <c r="K24" s="4">
        <f t="shared" si="2"/>
        <v>3.9768780990631858E-2</v>
      </c>
      <c r="L24" s="1">
        <f t="shared" si="3"/>
        <v>3.8247715951562282E-2</v>
      </c>
      <c r="M24">
        <f t="shared" si="4"/>
        <v>9.8736061572838434</v>
      </c>
      <c r="N24" s="5">
        <f t="shared" si="5"/>
        <v>2914.4074174849111</v>
      </c>
      <c r="O24" s="3">
        <f t="shared" si="6"/>
        <v>206620.0696828939</v>
      </c>
      <c r="P24" s="5">
        <f t="shared" si="7"/>
        <v>203705.66226540899</v>
      </c>
      <c r="R24" t="s">
        <v>22</v>
      </c>
      <c r="S24">
        <v>1.2379060000000001E-2</v>
      </c>
      <c r="T24">
        <v>9.2613230000000001E-3</v>
      </c>
      <c r="U24">
        <v>1.1332904E-2</v>
      </c>
      <c r="V24">
        <v>1.2576311999999999E-2</v>
      </c>
      <c r="W24">
        <v>1.0984291E-2</v>
      </c>
      <c r="X24">
        <v>6.8147720000000002E-3</v>
      </c>
      <c r="Y24">
        <v>1.0933399E-2</v>
      </c>
      <c r="Z24">
        <v>1.1895149000000001E-2</v>
      </c>
      <c r="AA24">
        <v>1.0833048E-2</v>
      </c>
      <c r="AB24">
        <v>9.3072239999999994E-3</v>
      </c>
      <c r="AC24">
        <v>1.6230772000000001E-2</v>
      </c>
      <c r="AD24">
        <v>9.5093629999999998E-3</v>
      </c>
      <c r="AE24">
        <v>9.6226279999999994E-3</v>
      </c>
      <c r="AF24">
        <v>9.9745279999999999E-3</v>
      </c>
      <c r="AG24">
        <v>8.1609860000000003E-3</v>
      </c>
      <c r="AH24">
        <v>5.6738229999999997E-3</v>
      </c>
      <c r="AI24">
        <v>1.3274078E-2</v>
      </c>
      <c r="AJ24">
        <v>1.1098227E-2</v>
      </c>
      <c r="AK24">
        <v>9.6149249999999999E-3</v>
      </c>
      <c r="AL24">
        <v>7.4083389999999999E-3</v>
      </c>
      <c r="AM24">
        <v>1.3278181E-2</v>
      </c>
      <c r="AN24">
        <v>7.1134869999999999E-3</v>
      </c>
      <c r="AO24">
        <v>3.3945712000000003E-2</v>
      </c>
      <c r="AP24">
        <v>1.2823510999999999E-2</v>
      </c>
      <c r="AQ24">
        <v>1.1798995E-2</v>
      </c>
      <c r="AS24">
        <v>0.04</v>
      </c>
      <c r="AT24">
        <v>23</v>
      </c>
    </row>
    <row r="25" spans="1:56" x14ac:dyDescent="0.2">
      <c r="A25">
        <v>4</v>
      </c>
      <c r="B25" t="s">
        <v>23</v>
      </c>
      <c r="C25">
        <v>16.510000000000002</v>
      </c>
      <c r="D25">
        <v>2941000</v>
      </c>
      <c r="E25" s="11">
        <v>0.32365104665364514</v>
      </c>
      <c r="F25">
        <v>21.27</v>
      </c>
      <c r="G25" s="10">
        <v>0.14000000000000001</v>
      </c>
      <c r="H25" s="1">
        <f t="shared" si="0"/>
        <v>5.0000000000000001E-3</v>
      </c>
      <c r="I25" s="5">
        <f t="shared" si="1"/>
        <v>500000</v>
      </c>
      <c r="J25" s="6">
        <f t="shared" si="2"/>
        <v>30284.675953967289</v>
      </c>
      <c r="K25" s="4">
        <f t="shared" si="2"/>
        <v>1.0297407668809006E-2</v>
      </c>
      <c r="L25" s="1">
        <f t="shared" si="3"/>
        <v>1.0192451837097711E-2</v>
      </c>
      <c r="M25">
        <f t="shared" si="4"/>
        <v>4.5295211146959371</v>
      </c>
      <c r="N25" s="5">
        <f t="shared" si="5"/>
        <v>226.47605573479686</v>
      </c>
      <c r="O25" s="3">
        <f t="shared" si="6"/>
        <v>70000</v>
      </c>
      <c r="P25" s="5">
        <f t="shared" si="7"/>
        <v>69773.523944265209</v>
      </c>
      <c r="R25" t="s">
        <v>23</v>
      </c>
      <c r="S25">
        <v>1.7480347E-2</v>
      </c>
      <c r="T25">
        <v>1.1295690000000001E-2</v>
      </c>
      <c r="U25">
        <v>1.5340001000000001E-2</v>
      </c>
      <c r="V25">
        <v>1.7604024999999999E-2</v>
      </c>
      <c r="W25">
        <v>1.391967E-2</v>
      </c>
      <c r="X25">
        <v>8.0249989999999997E-3</v>
      </c>
      <c r="Y25">
        <v>1.3502448E-2</v>
      </c>
      <c r="Z25">
        <v>1.3863851999999999E-2</v>
      </c>
      <c r="AA25">
        <v>1.5194439000000001E-2</v>
      </c>
      <c r="AB25">
        <v>1.2162709000000001E-2</v>
      </c>
      <c r="AC25">
        <v>2.8228306000000002E-2</v>
      </c>
      <c r="AD25">
        <v>1.3560801000000001E-2</v>
      </c>
      <c r="AE25">
        <v>1.2750897000000001E-2</v>
      </c>
      <c r="AF25">
        <v>1.3870406E-2</v>
      </c>
      <c r="AG25">
        <v>9.4538650000000005E-3</v>
      </c>
      <c r="AH25">
        <v>6.2902610000000001E-3</v>
      </c>
      <c r="AI25">
        <v>2.2682687E-2</v>
      </c>
      <c r="AJ25">
        <v>1.4304641999999999E-2</v>
      </c>
      <c r="AK25">
        <v>1.3223132E-2</v>
      </c>
      <c r="AL25">
        <v>1.0900241999999999E-2</v>
      </c>
      <c r="AM25">
        <v>1.8758911E-2</v>
      </c>
      <c r="AN25">
        <v>8.2977439999999993E-3</v>
      </c>
      <c r="AO25">
        <v>1.2823510999999999E-2</v>
      </c>
      <c r="AP25">
        <v>0.105444634</v>
      </c>
      <c r="AQ25">
        <v>1.734629E-2</v>
      </c>
      <c r="AS25">
        <v>0.04</v>
      </c>
      <c r="AT25">
        <v>24</v>
      </c>
    </row>
    <row r="26" spans="1:56" x14ac:dyDescent="0.2">
      <c r="A26">
        <v>4</v>
      </c>
      <c r="B26" t="s">
        <v>24</v>
      </c>
      <c r="C26">
        <v>80.900000000000006</v>
      </c>
      <c r="D26">
        <v>2915000</v>
      </c>
      <c r="E26" s="11">
        <v>0.19429359227725448</v>
      </c>
      <c r="F26">
        <v>24.48</v>
      </c>
      <c r="G26" s="10">
        <v>0.14000000000000001</v>
      </c>
      <c r="H26" s="1">
        <f t="shared" si="0"/>
        <v>5.0000000000000001E-3</v>
      </c>
      <c r="I26" s="5">
        <f t="shared" si="1"/>
        <v>500000</v>
      </c>
      <c r="J26" s="6">
        <f t="shared" si="2"/>
        <v>6180.469715698393</v>
      </c>
      <c r="K26" s="4">
        <f t="shared" si="2"/>
        <v>2.1202297480955035E-3</v>
      </c>
      <c r="L26" s="1">
        <f t="shared" si="3"/>
        <v>2.1157438849712363E-3</v>
      </c>
      <c r="M26">
        <f t="shared" si="4"/>
        <v>1.2644601403472306</v>
      </c>
      <c r="N26" s="5">
        <f t="shared" si="5"/>
        <v>63.223007017361532</v>
      </c>
      <c r="O26" s="3">
        <f>G26*I26</f>
        <v>70000</v>
      </c>
      <c r="P26" s="5">
        <f t="shared" si="7"/>
        <v>69936.776992982632</v>
      </c>
      <c r="R26" t="s">
        <v>24</v>
      </c>
      <c r="S26">
        <v>1.5873594000000001E-2</v>
      </c>
      <c r="T26">
        <v>1.1222357000000001E-2</v>
      </c>
      <c r="U26">
        <v>1.5411647000000001E-2</v>
      </c>
      <c r="V26">
        <v>1.7519578000000001E-2</v>
      </c>
      <c r="W26">
        <v>1.4528236999999999E-2</v>
      </c>
      <c r="X26">
        <v>8.5800809999999998E-3</v>
      </c>
      <c r="Y26">
        <v>1.4902575E-2</v>
      </c>
      <c r="Z26">
        <v>1.8169238000000001E-2</v>
      </c>
      <c r="AA26">
        <v>1.6191100999999999E-2</v>
      </c>
      <c r="AB26">
        <v>1.2332696000000001E-2</v>
      </c>
      <c r="AC26">
        <v>2.1360833999999999E-2</v>
      </c>
      <c r="AD26">
        <v>1.3448009E-2</v>
      </c>
      <c r="AE26">
        <v>1.281536E-2</v>
      </c>
      <c r="AF26">
        <v>1.2984974E-2</v>
      </c>
      <c r="AG26">
        <v>9.7984189999999992E-3</v>
      </c>
      <c r="AH26">
        <v>6.7143009999999998E-3</v>
      </c>
      <c r="AI26">
        <v>1.8579155999999999E-2</v>
      </c>
      <c r="AJ26">
        <v>1.4276027E-2</v>
      </c>
      <c r="AK26">
        <v>1.2831832E-2</v>
      </c>
      <c r="AL26">
        <v>1.2067761E-2</v>
      </c>
      <c r="AM26">
        <v>1.7866788000000002E-2</v>
      </c>
      <c r="AN26">
        <v>8.0650670000000004E-3</v>
      </c>
      <c r="AO26">
        <v>1.1798995E-2</v>
      </c>
      <c r="AP26">
        <v>1.734629E-2</v>
      </c>
      <c r="AQ26">
        <v>3.8025820000000002E-2</v>
      </c>
      <c r="AS26">
        <v>0.04</v>
      </c>
      <c r="AT26">
        <v>25</v>
      </c>
    </row>
    <row r="27" spans="1:56" x14ac:dyDescent="0.2">
      <c r="A27" t="s">
        <v>58</v>
      </c>
      <c r="C27">
        <f>SUM(C2:C26)</f>
        <v>2426.0100000000002</v>
      </c>
      <c r="D27">
        <f t="shared" ref="D27:G27" si="8">SUM(D2:D26)</f>
        <v>87705000</v>
      </c>
      <c r="E27" s="11">
        <f t="shared" si="8"/>
        <v>5.3882867844687157</v>
      </c>
      <c r="F27">
        <f t="shared" si="8"/>
        <v>591.57999999999993</v>
      </c>
      <c r="G27">
        <f t="shared" si="8"/>
        <v>2.9200000000000008</v>
      </c>
      <c r="H27" s="1">
        <f t="shared" si="0"/>
        <v>1</v>
      </c>
      <c r="I27" s="5">
        <f t="shared" si="1"/>
        <v>100000000</v>
      </c>
      <c r="J27" s="6">
        <f t="shared" ref="J27:P27" si="9">SUM(J2:J26)</f>
        <v>1562777.8131324281</v>
      </c>
      <c r="K27" s="8">
        <f t="shared" si="9"/>
        <v>0.76525010816697159</v>
      </c>
      <c r="L27" s="1">
        <f t="shared" si="9"/>
        <v>0.69118552179342518</v>
      </c>
      <c r="M27">
        <f t="shared" si="9"/>
        <v>183.24268990996796</v>
      </c>
      <c r="N27" s="5">
        <f>SUM(N2:N26)</f>
        <v>201928.5023730477</v>
      </c>
      <c r="O27" s="3">
        <f>SUM(O2:O26)</f>
        <v>9999999.9614636414</v>
      </c>
      <c r="P27" s="5">
        <f t="shared" si="9"/>
        <v>9798071.4590905923</v>
      </c>
    </row>
    <row r="28" spans="1:56" x14ac:dyDescent="0.2">
      <c r="O28" s="1">
        <f>O27/I27</f>
        <v>9.9999999614636417E-2</v>
      </c>
      <c r="P28" s="1">
        <f>P27/I27</f>
        <v>9.7980714590905918E-2</v>
      </c>
      <c r="T28" t="s">
        <v>25</v>
      </c>
      <c r="U28" t="s">
        <v>26</v>
      </c>
      <c r="V28" t="s">
        <v>27</v>
      </c>
      <c r="AF28">
        <v>1</v>
      </c>
      <c r="AG28">
        <v>2</v>
      </c>
      <c r="AH28">
        <v>3</v>
      </c>
      <c r="AI28">
        <v>4</v>
      </c>
      <c r="AJ28">
        <v>5</v>
      </c>
      <c r="AK28">
        <v>6</v>
      </c>
      <c r="AL28">
        <v>7</v>
      </c>
      <c r="AM28">
        <v>8</v>
      </c>
      <c r="AN28">
        <v>9</v>
      </c>
      <c r="AO28">
        <v>10</v>
      </c>
      <c r="AP28">
        <v>11</v>
      </c>
      <c r="AQ28">
        <v>12</v>
      </c>
      <c r="AR28">
        <v>13</v>
      </c>
      <c r="AS28">
        <v>14</v>
      </c>
      <c r="AT28">
        <v>15</v>
      </c>
      <c r="AU28">
        <v>16</v>
      </c>
      <c r="AV28">
        <v>17</v>
      </c>
      <c r="AW28">
        <v>18</v>
      </c>
      <c r="AX28">
        <v>19</v>
      </c>
      <c r="AY28">
        <v>20</v>
      </c>
      <c r="AZ28">
        <v>21</v>
      </c>
      <c r="BA28">
        <v>22</v>
      </c>
      <c r="BB28">
        <v>23</v>
      </c>
      <c r="BC28">
        <v>24</v>
      </c>
      <c r="BD28">
        <v>25</v>
      </c>
    </row>
    <row r="29" spans="1:56" x14ac:dyDescent="0.2">
      <c r="A29" t="s">
        <v>41</v>
      </c>
      <c r="B29" s="3">
        <v>100000000</v>
      </c>
      <c r="D29" t="s">
        <v>36</v>
      </c>
      <c r="E29" s="12">
        <v>706.28378945135796</v>
      </c>
      <c r="N29" t="s">
        <v>59</v>
      </c>
      <c r="O29" s="1">
        <f>P28-O28</f>
        <v>-2.0192850237304993E-3</v>
      </c>
      <c r="S29">
        <v>1</v>
      </c>
      <c r="T29" s="1">
        <v>5.0000000000000001E-3</v>
      </c>
      <c r="U29" s="1">
        <v>5.0000000000000001E-3</v>
      </c>
      <c r="V29" s="2">
        <v>0.25</v>
      </c>
      <c r="Y29" t="s">
        <v>28</v>
      </c>
      <c r="Z29" s="15">
        <f>AA29^2</f>
        <v>8.2985335972717386E-5</v>
      </c>
      <c r="AA29" s="11">
        <f>MMULT(AF29:BD29,MMULT(S2:AQ26,T29:T53))</f>
        <v>9.1096287505428777E-3</v>
      </c>
      <c r="AC29">
        <v>0.14000000000000001</v>
      </c>
      <c r="AE29" t="s">
        <v>30</v>
      </c>
      <c r="AF29">
        <f>T29</f>
        <v>5.0000000000000001E-3</v>
      </c>
      <c r="AG29">
        <f>T30</f>
        <v>4.2671748481897719E-2</v>
      </c>
      <c r="AH29">
        <f>T31</f>
        <v>5.0000000000000001E-3</v>
      </c>
      <c r="AI29">
        <f>T32</f>
        <v>5.0000000000000001E-3</v>
      </c>
      <c r="AJ29">
        <f>T33</f>
        <v>5.0000000000000001E-3</v>
      </c>
      <c r="AK29">
        <f>T34</f>
        <v>0.11796260909993544</v>
      </c>
      <c r="AL29">
        <f>T35</f>
        <v>5.0000000000000001E-3</v>
      </c>
      <c r="AM29">
        <f>T36</f>
        <v>5.000000000000001E-3</v>
      </c>
      <c r="AN29">
        <f>T37</f>
        <v>5.0000000000000001E-3</v>
      </c>
      <c r="AO29">
        <f>T38</f>
        <v>2.6635340148820838E-2</v>
      </c>
      <c r="AP29">
        <f>T39</f>
        <v>5.0000000000000001E-3</v>
      </c>
      <c r="AQ29">
        <f>T40</f>
        <v>4.5249219593645869E-2</v>
      </c>
      <c r="AR29">
        <f>T41</f>
        <v>3.1812812625072642E-2</v>
      </c>
      <c r="AS29">
        <f>T42</f>
        <v>1.2525869286126416E-2</v>
      </c>
      <c r="AT29">
        <f>T43</f>
        <v>0.13558637266559312</v>
      </c>
      <c r="AU29">
        <f>T44</f>
        <v>0.25</v>
      </c>
      <c r="AV29">
        <f>T45</f>
        <v>5.0000000000000001E-3</v>
      </c>
      <c r="AW29">
        <f>T46</f>
        <v>5.0000000000000001E-3</v>
      </c>
      <c r="AX29">
        <f>T47</f>
        <v>6.7240718071956959E-2</v>
      </c>
      <c r="AY29">
        <f>T48</f>
        <v>3.960066380236444E-2</v>
      </c>
      <c r="AZ29">
        <f>T49</f>
        <v>5.0000000000000036E-3</v>
      </c>
      <c r="BA29">
        <f>T50</f>
        <v>0.13619749341274445</v>
      </c>
      <c r="BB29">
        <f>T51</f>
        <v>2.9517152811841984E-2</v>
      </c>
      <c r="BC29">
        <f>T52</f>
        <v>5.0000000000000001E-3</v>
      </c>
      <c r="BD29">
        <f>T53</f>
        <v>5.0000000000000001E-3</v>
      </c>
    </row>
    <row r="30" spans="1:56" x14ac:dyDescent="0.2">
      <c r="B30" s="1"/>
      <c r="D30" t="s">
        <v>37</v>
      </c>
      <c r="E30" s="12">
        <v>0.34305784856765498</v>
      </c>
      <c r="S30">
        <v>2</v>
      </c>
      <c r="T30" s="1">
        <v>4.2671748481897719E-2</v>
      </c>
      <c r="U30" s="1">
        <v>5.0000000000000001E-3</v>
      </c>
      <c r="V30" s="2">
        <v>0.25</v>
      </c>
      <c r="Y30" t="s">
        <v>31</v>
      </c>
      <c r="Z30" s="15">
        <f>SQRT(AA29)</f>
        <v>9.5444375164505518E-2</v>
      </c>
      <c r="AA30" s="11"/>
      <c r="AC30">
        <v>0.1</v>
      </c>
    </row>
    <row r="31" spans="1:56" x14ac:dyDescent="0.2">
      <c r="B31" s="11"/>
      <c r="D31" t="s">
        <v>38</v>
      </c>
      <c r="E31" s="12">
        <v>0.56587621757055095</v>
      </c>
      <c r="S31">
        <v>3</v>
      </c>
      <c r="T31" s="1">
        <v>5.0000000000000001E-3</v>
      </c>
      <c r="U31" s="1">
        <v>5.0000000000000001E-3</v>
      </c>
      <c r="V31" s="2">
        <v>0.25</v>
      </c>
      <c r="Y31" t="s">
        <v>32</v>
      </c>
      <c r="Z31" s="15">
        <f>SUMPRODUCT(T29:T53,AC29:AC53)</f>
        <v>9.9999999614636403E-2</v>
      </c>
      <c r="AA31" s="11"/>
      <c r="AC31">
        <v>0.14000000000000001</v>
      </c>
    </row>
    <row r="32" spans="1:56" x14ac:dyDescent="0.2">
      <c r="B32" s="1"/>
      <c r="D32" t="s">
        <v>39</v>
      </c>
      <c r="E32" s="12">
        <v>0.75754853087902696</v>
      </c>
      <c r="S32">
        <v>4</v>
      </c>
      <c r="T32" s="1">
        <v>5.0000000000000001E-3</v>
      </c>
      <c r="U32" s="1">
        <v>5.0000000000000001E-3</v>
      </c>
      <c r="V32" s="2">
        <v>0.25</v>
      </c>
      <c r="Y32" t="s">
        <v>69</v>
      </c>
      <c r="Z32" s="15">
        <f>P28</f>
        <v>9.7980714590905918E-2</v>
      </c>
      <c r="AC32">
        <v>0.12</v>
      </c>
    </row>
    <row r="33" spans="2:29" x14ac:dyDescent="0.2">
      <c r="D33" t="s">
        <v>40</v>
      </c>
      <c r="E33" s="12">
        <v>0.97175923281984999</v>
      </c>
      <c r="S33">
        <v>5</v>
      </c>
      <c r="T33" s="1">
        <v>5.0000000000000001E-3</v>
      </c>
      <c r="U33" s="1">
        <v>5.0000000000000001E-3</v>
      </c>
      <c r="V33" s="2">
        <v>0.25</v>
      </c>
      <c r="Y33" t="s">
        <v>74</v>
      </c>
      <c r="Z33">
        <f>M27</f>
        <v>183.24268990996796</v>
      </c>
      <c r="AC33">
        <v>0.1</v>
      </c>
    </row>
    <row r="34" spans="2:29" x14ac:dyDescent="0.2">
      <c r="B34" s="11"/>
      <c r="S34">
        <v>6</v>
      </c>
      <c r="T34" s="1">
        <v>0.11796260909993544</v>
      </c>
      <c r="U34" s="1">
        <v>5.0000000000000001E-3</v>
      </c>
      <c r="V34" s="2">
        <v>0.25</v>
      </c>
      <c r="AC34">
        <v>0.08</v>
      </c>
    </row>
    <row r="35" spans="2:29" x14ac:dyDescent="0.2">
      <c r="S35">
        <v>7</v>
      </c>
      <c r="T35" s="1">
        <v>5.0000000000000001E-3</v>
      </c>
      <c r="U35" s="1">
        <v>5.0000000000000001E-3</v>
      </c>
      <c r="V35" s="2">
        <v>0.25</v>
      </c>
      <c r="AC35">
        <v>0.09</v>
      </c>
    </row>
    <row r="36" spans="2:29" x14ac:dyDescent="0.2">
      <c r="S36">
        <v>8</v>
      </c>
      <c r="T36" s="1">
        <v>5.000000000000001E-3</v>
      </c>
      <c r="U36" s="1">
        <v>5.0000000000000001E-3</v>
      </c>
      <c r="V36" s="2">
        <v>0.25</v>
      </c>
      <c r="AC36">
        <v>0.17</v>
      </c>
    </row>
    <row r="37" spans="2:29" x14ac:dyDescent="0.2">
      <c r="B37" s="1"/>
      <c r="C37" s="1"/>
      <c r="S37">
        <v>9</v>
      </c>
      <c r="T37" s="1">
        <v>5.0000000000000001E-3</v>
      </c>
      <c r="U37" s="1">
        <v>5.0000000000000001E-3</v>
      </c>
      <c r="V37" s="2">
        <v>0.25</v>
      </c>
      <c r="AC37">
        <v>0.14000000000000001</v>
      </c>
    </row>
    <row r="38" spans="2:29" x14ac:dyDescent="0.2">
      <c r="B38" s="1"/>
      <c r="C38" s="1"/>
      <c r="S38">
        <v>10</v>
      </c>
      <c r="T38" s="1">
        <v>2.6635340148820838E-2</v>
      </c>
      <c r="U38" s="1">
        <v>5.0000000000000001E-3</v>
      </c>
      <c r="V38" s="2">
        <v>0.25</v>
      </c>
      <c r="AC38">
        <v>0.12</v>
      </c>
    </row>
    <row r="39" spans="2:29" x14ac:dyDescent="0.2">
      <c r="B39" s="1"/>
      <c r="C39" s="1"/>
      <c r="S39">
        <v>11</v>
      </c>
      <c r="T39" s="1">
        <v>5.0000000000000001E-3</v>
      </c>
      <c r="U39" s="1">
        <v>5.0000000000000001E-3</v>
      </c>
      <c r="V39" s="2">
        <v>0.25</v>
      </c>
      <c r="AC39">
        <v>0.21</v>
      </c>
    </row>
    <row r="40" spans="2:29" x14ac:dyDescent="0.2">
      <c r="B40" s="1"/>
      <c r="C40" s="1"/>
      <c r="S40">
        <v>12</v>
      </c>
      <c r="T40" s="1">
        <v>4.5249219593645869E-2</v>
      </c>
      <c r="U40" s="1">
        <v>5.0000000000000001E-3</v>
      </c>
      <c r="V40" s="2">
        <v>0.25</v>
      </c>
      <c r="AC40">
        <v>0.15</v>
      </c>
    </row>
    <row r="41" spans="2:29" x14ac:dyDescent="0.2">
      <c r="B41" s="1"/>
      <c r="C41" s="1"/>
      <c r="S41">
        <v>13</v>
      </c>
      <c r="T41" s="1">
        <v>3.1812812625072642E-2</v>
      </c>
      <c r="U41" s="1">
        <v>5.0000000000000001E-3</v>
      </c>
      <c r="V41" s="2">
        <v>0.25</v>
      </c>
      <c r="AC41">
        <v>0.14000000000000001</v>
      </c>
    </row>
    <row r="42" spans="2:29" x14ac:dyDescent="0.2">
      <c r="B42" s="1"/>
      <c r="C42" s="1"/>
      <c r="S42">
        <v>14</v>
      </c>
      <c r="T42" s="1">
        <v>1.2525869286126416E-2</v>
      </c>
      <c r="U42" s="1">
        <v>5.0000000000000001E-3</v>
      </c>
      <c r="V42" s="2">
        <v>0.25</v>
      </c>
      <c r="AC42">
        <v>0.06</v>
      </c>
    </row>
    <row r="43" spans="2:29" x14ac:dyDescent="0.2">
      <c r="B43" s="1"/>
      <c r="C43" s="1"/>
      <c r="S43">
        <v>15</v>
      </c>
      <c r="T43" s="1">
        <v>0.13558637266559312</v>
      </c>
      <c r="U43" s="1">
        <v>5.0000000000000001E-3</v>
      </c>
      <c r="V43" s="2">
        <v>0.25</v>
      </c>
      <c r="AC43">
        <v>7.0000000000000007E-2</v>
      </c>
    </row>
    <row r="44" spans="2:29" x14ac:dyDescent="0.2">
      <c r="B44" s="1"/>
      <c r="C44" s="1"/>
      <c r="S44">
        <v>16</v>
      </c>
      <c r="T44" s="1">
        <v>0.25</v>
      </c>
      <c r="U44" s="1">
        <v>5.0000000000000001E-3</v>
      </c>
      <c r="V44" s="2">
        <v>0.25</v>
      </c>
      <c r="AC44">
        <v>0.1</v>
      </c>
    </row>
    <row r="45" spans="2:29" x14ac:dyDescent="0.2">
      <c r="B45" s="1"/>
      <c r="C45" s="1"/>
      <c r="S45">
        <v>17</v>
      </c>
      <c r="T45" s="1">
        <v>5.0000000000000001E-3</v>
      </c>
      <c r="U45" s="1">
        <v>5.0000000000000001E-3</v>
      </c>
      <c r="V45" s="2">
        <v>0.25</v>
      </c>
      <c r="AC45">
        <v>0.09</v>
      </c>
    </row>
    <row r="46" spans="2:29" x14ac:dyDescent="0.2">
      <c r="B46" s="1"/>
      <c r="C46" s="1"/>
      <c r="S46">
        <v>18</v>
      </c>
      <c r="T46" s="1">
        <v>5.0000000000000001E-3</v>
      </c>
      <c r="U46" s="1">
        <v>5.0000000000000001E-3</v>
      </c>
      <c r="V46" s="2">
        <v>0.25</v>
      </c>
      <c r="AC46">
        <v>0.08</v>
      </c>
    </row>
    <row r="47" spans="2:29" x14ac:dyDescent="0.2">
      <c r="B47" s="1"/>
      <c r="C47" s="1"/>
      <c r="S47">
        <v>19</v>
      </c>
      <c r="T47" s="1">
        <v>6.7240718071956959E-2</v>
      </c>
      <c r="U47" s="1">
        <v>5.0000000000000001E-3</v>
      </c>
      <c r="V47" s="2">
        <v>0.25</v>
      </c>
      <c r="AC47">
        <v>0.14000000000000001</v>
      </c>
    </row>
    <row r="48" spans="2:29" x14ac:dyDescent="0.2">
      <c r="B48" s="2"/>
      <c r="S48">
        <v>20</v>
      </c>
      <c r="T48" s="1">
        <v>3.960066380236444E-2</v>
      </c>
      <c r="U48" s="1">
        <v>5.0000000000000001E-3</v>
      </c>
      <c r="V48" s="2">
        <v>0.25</v>
      </c>
      <c r="AC48">
        <v>0.15</v>
      </c>
    </row>
    <row r="49" spans="19:29" x14ac:dyDescent="0.2">
      <c r="S49">
        <v>21</v>
      </c>
      <c r="T49" s="1">
        <v>5.0000000000000036E-3</v>
      </c>
      <c r="U49" s="1">
        <v>5.0000000000000001E-3</v>
      </c>
      <c r="V49" s="2">
        <v>0.25</v>
      </c>
      <c r="AC49">
        <v>0.1</v>
      </c>
    </row>
    <row r="50" spans="19:29" x14ac:dyDescent="0.2">
      <c r="S50">
        <v>22</v>
      </c>
      <c r="T50" s="1">
        <v>0.13619749341274445</v>
      </c>
      <c r="U50" s="1">
        <v>5.0000000000000001E-3</v>
      </c>
      <c r="V50" s="2">
        <v>0.25</v>
      </c>
      <c r="AC50">
        <v>0.08</v>
      </c>
    </row>
    <row r="51" spans="19:29" x14ac:dyDescent="0.2">
      <c r="S51">
        <v>23</v>
      </c>
      <c r="T51" s="1">
        <v>2.9517152811841984E-2</v>
      </c>
      <c r="U51" s="1">
        <v>5.0000000000000001E-3</v>
      </c>
      <c r="V51" s="2">
        <v>0.25</v>
      </c>
      <c r="AC51">
        <v>7.0000000000000007E-2</v>
      </c>
    </row>
    <row r="52" spans="19:29" x14ac:dyDescent="0.2">
      <c r="S52">
        <v>24</v>
      </c>
      <c r="T52" s="1">
        <v>5.0000000000000001E-3</v>
      </c>
      <c r="U52" s="1">
        <v>5.0000000000000001E-3</v>
      </c>
      <c r="V52" s="2">
        <v>0.25</v>
      </c>
      <c r="AC52">
        <v>0.14000000000000001</v>
      </c>
    </row>
    <row r="53" spans="19:29" x14ac:dyDescent="0.2">
      <c r="S53">
        <v>25</v>
      </c>
      <c r="T53" s="1">
        <v>5.0000000000000001E-3</v>
      </c>
      <c r="U53" s="1">
        <v>5.0000000000000001E-3</v>
      </c>
      <c r="V53" s="2">
        <v>0.25</v>
      </c>
      <c r="AC53">
        <v>0.14000000000000001</v>
      </c>
    </row>
    <row r="54" spans="19:29" x14ac:dyDescent="0.2">
      <c r="S54" t="s">
        <v>35</v>
      </c>
      <c r="T54">
        <f>SUM(T29:T53)</f>
        <v>1</v>
      </c>
      <c r="U54">
        <v>1</v>
      </c>
    </row>
  </sheetData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E54"/>
  <sheetViews>
    <sheetView topLeftCell="J11" workbookViewId="0">
      <selection activeCell="Z30" sqref="Z30:Z33"/>
    </sheetView>
  </sheetViews>
  <sheetFormatPr defaultRowHeight="14.25" x14ac:dyDescent="0.2"/>
  <cols>
    <col min="2" max="2" width="13" bestFit="1" customWidth="1"/>
    <col min="5" max="5" width="21.5" bestFit="1" customWidth="1"/>
    <col min="9" max="9" width="15.625" bestFit="1" customWidth="1"/>
    <col min="14" max="14" width="15.5" bestFit="1" customWidth="1"/>
    <col min="15" max="15" width="11.875" bestFit="1" customWidth="1"/>
    <col min="16" max="16" width="14.625" bestFit="1" customWidth="1"/>
  </cols>
  <sheetData>
    <row r="1" spans="1:57" x14ac:dyDescent="0.2">
      <c r="A1" s="7" t="s">
        <v>43</v>
      </c>
      <c r="B1" s="7" t="s">
        <v>44</v>
      </c>
      <c r="C1" s="7" t="s">
        <v>45</v>
      </c>
      <c r="D1" s="7" t="s">
        <v>46</v>
      </c>
      <c r="E1" s="7" t="s">
        <v>47</v>
      </c>
      <c r="F1" s="7" t="s">
        <v>48</v>
      </c>
      <c r="G1" s="7" t="s">
        <v>49</v>
      </c>
      <c r="H1" s="7" t="s">
        <v>57</v>
      </c>
      <c r="I1" s="7" t="s">
        <v>56</v>
      </c>
      <c r="J1" s="7" t="s">
        <v>55</v>
      </c>
      <c r="K1" s="7" t="s">
        <v>50</v>
      </c>
      <c r="L1" s="7" t="s">
        <v>42</v>
      </c>
      <c r="M1" s="7" t="s">
        <v>51</v>
      </c>
      <c r="N1" s="7" t="s">
        <v>52</v>
      </c>
      <c r="O1" s="7" t="s">
        <v>53</v>
      </c>
      <c r="P1" s="7" t="s">
        <v>54</v>
      </c>
      <c r="Q1" s="7"/>
      <c r="S1" t="s">
        <v>0</v>
      </c>
      <c r="T1" t="s">
        <v>1</v>
      </c>
      <c r="U1" t="s">
        <v>2</v>
      </c>
      <c r="V1" t="s">
        <v>3</v>
      </c>
      <c r="W1" t="s">
        <v>4</v>
      </c>
      <c r="X1" t="s">
        <v>5</v>
      </c>
      <c r="Y1" t="s">
        <v>6</v>
      </c>
      <c r="Z1" t="s">
        <v>7</v>
      </c>
      <c r="AA1" t="s">
        <v>8</v>
      </c>
      <c r="AB1" t="s">
        <v>9</v>
      </c>
      <c r="AC1" t="s">
        <v>10</v>
      </c>
      <c r="AD1" t="s">
        <v>11</v>
      </c>
      <c r="AE1" t="s">
        <v>12</v>
      </c>
      <c r="AF1" t="s">
        <v>13</v>
      </c>
      <c r="AG1" t="s">
        <v>14</v>
      </c>
      <c r="AH1" t="s">
        <v>15</v>
      </c>
      <c r="AI1" t="s">
        <v>16</v>
      </c>
      <c r="AJ1" t="s">
        <v>17</v>
      </c>
      <c r="AK1" t="s">
        <v>18</v>
      </c>
      <c r="AL1" t="s">
        <v>19</v>
      </c>
      <c r="AM1" t="s">
        <v>20</v>
      </c>
      <c r="AN1" t="s">
        <v>21</v>
      </c>
      <c r="AO1" t="s">
        <v>22</v>
      </c>
      <c r="AP1" t="s">
        <v>23</v>
      </c>
      <c r="AQ1" t="s">
        <v>24</v>
      </c>
      <c r="BE1" s="7"/>
    </row>
    <row r="2" spans="1:57" x14ac:dyDescent="0.2">
      <c r="A2">
        <v>4</v>
      </c>
      <c r="B2" t="s">
        <v>0</v>
      </c>
      <c r="C2">
        <v>78.63</v>
      </c>
      <c r="D2">
        <v>5224000</v>
      </c>
      <c r="E2" s="11">
        <v>0.20124611797498107</v>
      </c>
      <c r="F2">
        <v>24.49</v>
      </c>
      <c r="G2">
        <v>0.14000000000000001</v>
      </c>
      <c r="H2" s="1">
        <f>T29</f>
        <v>5.0000000000000001E-3</v>
      </c>
      <c r="I2" s="5">
        <f>ABS(H2*$B$29)</f>
        <v>2500000</v>
      </c>
      <c r="J2" s="6">
        <f>I2/C2</f>
        <v>31794.480478188987</v>
      </c>
      <c r="K2" s="4">
        <f>J2/D2</f>
        <v>6.0862328633593012E-3</v>
      </c>
      <c r="L2" s="1">
        <f>K2/(1+K2)</f>
        <v>6.0494147167063934E-3</v>
      </c>
      <c r="M2">
        <f>$E$29*(K2^$E$30)*(E2^$E$31)*($E$33*(L2^$E$32)+(1-$E$33))</f>
        <v>2.4033619015302228</v>
      </c>
      <c r="N2" s="5">
        <f>M2/10000*I2</f>
        <v>600.84047538255572</v>
      </c>
      <c r="O2" s="3">
        <f>G2*I2</f>
        <v>350000.00000000006</v>
      </c>
      <c r="P2" s="5">
        <f>O2-N2</f>
        <v>349399.15952461748</v>
      </c>
      <c r="R2" t="s">
        <v>0</v>
      </c>
      <c r="S2">
        <v>4.0836718000000001E-2</v>
      </c>
      <c r="T2">
        <v>1.1484558000000001E-2</v>
      </c>
      <c r="U2">
        <v>1.5073507999999999E-2</v>
      </c>
      <c r="V2">
        <v>1.7006291E-2</v>
      </c>
      <c r="W2">
        <v>1.4288515999999999E-2</v>
      </c>
      <c r="X2">
        <v>8.5739309999999999E-3</v>
      </c>
      <c r="Y2">
        <v>1.4396213E-2</v>
      </c>
      <c r="Z2">
        <v>1.6525015000000001E-2</v>
      </c>
      <c r="AA2">
        <v>1.5196238000000001E-2</v>
      </c>
      <c r="AB2">
        <v>1.2164378E-2</v>
      </c>
      <c r="AC2">
        <v>2.2022389E-2</v>
      </c>
      <c r="AD2">
        <v>1.2989624999999999E-2</v>
      </c>
      <c r="AE2">
        <v>1.2630687E-2</v>
      </c>
      <c r="AF2">
        <v>1.3026874000000001E-2</v>
      </c>
      <c r="AG2">
        <v>1.0012559000000001E-2</v>
      </c>
      <c r="AH2">
        <v>6.8772659999999999E-3</v>
      </c>
      <c r="AI2">
        <v>1.8508153999999999E-2</v>
      </c>
      <c r="AJ2">
        <v>1.4267887999999999E-2</v>
      </c>
      <c r="AK2">
        <v>1.2694359000000001E-2</v>
      </c>
      <c r="AL2">
        <v>1.0947798E-2</v>
      </c>
      <c r="AM2">
        <v>1.7665538000000001E-2</v>
      </c>
      <c r="AN2">
        <v>8.4996010000000007E-3</v>
      </c>
      <c r="AO2">
        <v>1.2379060000000001E-2</v>
      </c>
      <c r="AP2">
        <v>1.7480347E-2</v>
      </c>
      <c r="AQ2">
        <v>1.5873594000000001E-2</v>
      </c>
      <c r="AS2">
        <v>0.04</v>
      </c>
      <c r="AT2">
        <v>1</v>
      </c>
    </row>
    <row r="3" spans="1:57" x14ac:dyDescent="0.2">
      <c r="A3">
        <v>4</v>
      </c>
      <c r="B3" t="s">
        <v>1</v>
      </c>
      <c r="C3">
        <v>124.33</v>
      </c>
      <c r="D3">
        <v>1223000</v>
      </c>
      <c r="E3" s="11">
        <v>0.20676073128135333</v>
      </c>
      <c r="F3">
        <v>24.12</v>
      </c>
      <c r="G3">
        <v>0.1</v>
      </c>
      <c r="H3" s="1">
        <f t="shared" ref="H3:H26" si="0">T30</f>
        <v>4.2661616647169602E-2</v>
      </c>
      <c r="I3" s="5">
        <f t="shared" ref="I3:I27" si="1">ABS(H3*$B$29)</f>
        <v>21330808.323584802</v>
      </c>
      <c r="J3" s="6">
        <f t="shared" ref="J3:K26" si="2">I3/C3</f>
        <v>171566.06067389046</v>
      </c>
      <c r="K3" s="4">
        <f t="shared" si="2"/>
        <v>0.14028296048560135</v>
      </c>
      <c r="L3" s="1">
        <f t="shared" ref="L3:L26" si="3">K3/(1+K3)</f>
        <v>0.12302469242008177</v>
      </c>
      <c r="M3">
        <f>$E$29*(K3^$E$30)*(E3^$E$31)*($E$33*(L3^$E$32)+(1-$E$33))</f>
        <v>33.48824016360669</v>
      </c>
      <c r="N3" s="5">
        <f t="shared" ref="N3:N26" si="4">M3/10000*I3</f>
        <v>71433.123202406845</v>
      </c>
      <c r="O3" s="3">
        <f t="shared" ref="O3:O25" si="5">G3*I3</f>
        <v>2133080.8323584804</v>
      </c>
      <c r="P3" s="5">
        <f t="shared" ref="P3:P26" si="6">O3-N3</f>
        <v>2061647.7091560736</v>
      </c>
      <c r="R3" t="s">
        <v>1</v>
      </c>
      <c r="S3">
        <v>1.1484558000000001E-2</v>
      </c>
      <c r="T3">
        <v>4.2999701000000001E-2</v>
      </c>
      <c r="U3">
        <v>1.1263903E-2</v>
      </c>
      <c r="V3">
        <v>1.2521071999999999E-2</v>
      </c>
      <c r="W3">
        <v>1.1037646999999999E-2</v>
      </c>
      <c r="X3">
        <v>6.8283659999999998E-3</v>
      </c>
      <c r="Y3">
        <v>1.1370447000000001E-2</v>
      </c>
      <c r="Z3">
        <v>1.379623E-2</v>
      </c>
      <c r="AA3">
        <v>1.1402361E-2</v>
      </c>
      <c r="AB3">
        <v>9.2278780000000001E-3</v>
      </c>
      <c r="AC3">
        <v>1.3389317E-2</v>
      </c>
      <c r="AD3">
        <v>9.4890830000000006E-3</v>
      </c>
      <c r="AE3">
        <v>9.5118640000000001E-3</v>
      </c>
      <c r="AF3">
        <v>9.4450660000000002E-3</v>
      </c>
      <c r="AG3">
        <v>7.9634219999999995E-3</v>
      </c>
      <c r="AH3">
        <v>5.5859569999999999E-3</v>
      </c>
      <c r="AI3">
        <v>1.1734583E-2</v>
      </c>
      <c r="AJ3">
        <v>1.083219E-2</v>
      </c>
      <c r="AK3">
        <v>9.3394289999999998E-3</v>
      </c>
      <c r="AL3">
        <v>8.1760359999999994E-3</v>
      </c>
      <c r="AM3">
        <v>1.2795332E-2</v>
      </c>
      <c r="AN3">
        <v>6.6481750000000001E-3</v>
      </c>
      <c r="AO3">
        <v>9.2613230000000001E-3</v>
      </c>
      <c r="AP3">
        <v>1.1295690000000001E-2</v>
      </c>
      <c r="AQ3">
        <v>1.1222357000000001E-2</v>
      </c>
      <c r="AS3">
        <v>0.04</v>
      </c>
      <c r="AT3">
        <v>2</v>
      </c>
    </row>
    <row r="4" spans="1:57" x14ac:dyDescent="0.2">
      <c r="A4">
        <v>4</v>
      </c>
      <c r="B4" t="s">
        <v>2</v>
      </c>
      <c r="C4">
        <v>37.97</v>
      </c>
      <c r="D4">
        <v>2061000</v>
      </c>
      <c r="E4" s="11">
        <v>0.21035683967962629</v>
      </c>
      <c r="F4">
        <v>23.24</v>
      </c>
      <c r="G4">
        <v>0.14000000000000001</v>
      </c>
      <c r="H4" s="1">
        <f t="shared" si="0"/>
        <v>5.0000000000000001E-3</v>
      </c>
      <c r="I4" s="5">
        <f t="shared" si="1"/>
        <v>2500000</v>
      </c>
      <c r="J4" s="6">
        <f t="shared" si="2"/>
        <v>65841.453779299452</v>
      </c>
      <c r="K4" s="4">
        <f t="shared" si="2"/>
        <v>3.1946362823531999E-2</v>
      </c>
      <c r="L4" s="1">
        <f t="shared" si="3"/>
        <v>3.0957386909260313E-2</v>
      </c>
      <c r="M4">
        <f t="shared" ref="M4:M26" si="7">$E$29*(K4^$E$30)*(E4^$E$31)*($E$33*(L4^$E$32)+(1-$E$33))</f>
        <v>8.7996749141412192</v>
      </c>
      <c r="N4" s="5">
        <f t="shared" si="4"/>
        <v>2199.9187285353046</v>
      </c>
      <c r="O4" s="3">
        <f t="shared" si="5"/>
        <v>350000.00000000006</v>
      </c>
      <c r="P4" s="5">
        <f t="shared" si="6"/>
        <v>347800.08127146476</v>
      </c>
      <c r="R4" t="s">
        <v>2</v>
      </c>
      <c r="S4">
        <v>1.5073507999999999E-2</v>
      </c>
      <c r="T4">
        <v>1.1263903E-2</v>
      </c>
      <c r="U4">
        <v>4.4410461999999998E-2</v>
      </c>
      <c r="V4">
        <v>1.7529769000000001E-2</v>
      </c>
      <c r="W4">
        <v>1.4933154000000001E-2</v>
      </c>
      <c r="X4">
        <v>8.9398870000000005E-3</v>
      </c>
      <c r="Y4">
        <v>1.5734531999999999E-2</v>
      </c>
      <c r="Z4">
        <v>2.0566745000000001E-2</v>
      </c>
      <c r="AA4">
        <v>1.6765188E-2</v>
      </c>
      <c r="AB4">
        <v>1.2484011999999999E-2</v>
      </c>
      <c r="AC4">
        <v>1.7664776E-2</v>
      </c>
      <c r="AD4">
        <v>1.3423829999999999E-2</v>
      </c>
      <c r="AE4">
        <v>1.2908685E-2</v>
      </c>
      <c r="AF4">
        <v>1.2562039000000001E-2</v>
      </c>
      <c r="AG4">
        <v>1.0063574E-2</v>
      </c>
      <c r="AH4">
        <v>7.0030630000000003E-3</v>
      </c>
      <c r="AI4">
        <v>1.6366851000000002E-2</v>
      </c>
      <c r="AJ4">
        <v>1.4338780000000001E-2</v>
      </c>
      <c r="AK4">
        <v>1.2672320000000001E-2</v>
      </c>
      <c r="AL4">
        <v>1.2705374E-2</v>
      </c>
      <c r="AM4">
        <v>1.7448405E-2</v>
      </c>
      <c r="AN4">
        <v>8.0126929999999996E-3</v>
      </c>
      <c r="AO4">
        <v>1.1332904E-2</v>
      </c>
      <c r="AP4">
        <v>1.5340001000000001E-2</v>
      </c>
      <c r="AQ4">
        <v>1.5411647000000001E-2</v>
      </c>
      <c r="AS4">
        <v>0.04</v>
      </c>
      <c r="AT4">
        <v>3</v>
      </c>
    </row>
    <row r="5" spans="1:57" x14ac:dyDescent="0.2">
      <c r="A5">
        <v>4</v>
      </c>
      <c r="B5" t="s">
        <v>3</v>
      </c>
      <c r="C5">
        <v>53.28</v>
      </c>
      <c r="D5">
        <v>6561000</v>
      </c>
      <c r="E5" s="11">
        <v>0.22135943621178655</v>
      </c>
      <c r="F5">
        <v>23.9</v>
      </c>
      <c r="G5">
        <v>0.12</v>
      </c>
      <c r="H5" s="1">
        <f t="shared" si="0"/>
        <v>5.0000000000000001E-3</v>
      </c>
      <c r="I5" s="5">
        <f t="shared" si="1"/>
        <v>2500000</v>
      </c>
      <c r="J5" s="6">
        <f t="shared" si="2"/>
        <v>46921.921921921923</v>
      </c>
      <c r="K5" s="4">
        <f t="shared" si="2"/>
        <v>7.1516418109925199E-3</v>
      </c>
      <c r="L5" s="1">
        <f t="shared" si="3"/>
        <v>7.1008590107969416E-3</v>
      </c>
      <c r="M5">
        <f t="shared" si="7"/>
        <v>2.8254278920534652</v>
      </c>
      <c r="N5" s="5">
        <f t="shared" si="4"/>
        <v>706.35697301336631</v>
      </c>
      <c r="O5" s="3">
        <f t="shared" si="5"/>
        <v>300000</v>
      </c>
      <c r="P5" s="5">
        <f t="shared" si="6"/>
        <v>299293.64302698663</v>
      </c>
      <c r="R5" t="s">
        <v>3</v>
      </c>
      <c r="S5">
        <v>1.7006291E-2</v>
      </c>
      <c r="T5">
        <v>1.2521071999999999E-2</v>
      </c>
      <c r="U5">
        <v>1.7529769000000001E-2</v>
      </c>
      <c r="V5">
        <v>4.9189314999999997E-2</v>
      </c>
      <c r="W5">
        <v>1.6771273999999999E-2</v>
      </c>
      <c r="X5">
        <v>9.9560359999999997E-3</v>
      </c>
      <c r="Y5">
        <v>1.7689013E-2</v>
      </c>
      <c r="Z5">
        <v>2.3247451999999998E-2</v>
      </c>
      <c r="AA5">
        <v>1.9109977E-2</v>
      </c>
      <c r="AB5">
        <v>1.4048568000000001E-2</v>
      </c>
      <c r="AC5">
        <v>2.0364139E-2</v>
      </c>
      <c r="AD5">
        <v>1.52652E-2</v>
      </c>
      <c r="AE5">
        <v>1.4544969E-2</v>
      </c>
      <c r="AF5">
        <v>1.4174340000000001E-2</v>
      </c>
      <c r="AG5">
        <v>1.1144744E-2</v>
      </c>
      <c r="AH5">
        <v>7.7264040000000001E-3</v>
      </c>
      <c r="AI5">
        <v>1.8889063000000001E-2</v>
      </c>
      <c r="AJ5">
        <v>1.6081899E-2</v>
      </c>
      <c r="AK5">
        <v>1.4315746000000001E-2</v>
      </c>
      <c r="AL5">
        <v>1.4592612E-2</v>
      </c>
      <c r="AM5">
        <v>1.9760361000000001E-2</v>
      </c>
      <c r="AN5">
        <v>8.8200180000000006E-3</v>
      </c>
      <c r="AO5">
        <v>1.2576311999999999E-2</v>
      </c>
      <c r="AP5">
        <v>1.7604024999999999E-2</v>
      </c>
      <c r="AQ5">
        <v>1.7519578000000001E-2</v>
      </c>
      <c r="AS5">
        <v>0.04</v>
      </c>
      <c r="AT5">
        <v>4</v>
      </c>
    </row>
    <row r="6" spans="1:57" x14ac:dyDescent="0.2">
      <c r="A6">
        <v>4</v>
      </c>
      <c r="B6" t="s">
        <v>4</v>
      </c>
      <c r="C6">
        <v>50.8</v>
      </c>
      <c r="D6">
        <v>2210000</v>
      </c>
      <c r="E6" s="11">
        <v>0.20371548787463364</v>
      </c>
      <c r="F6">
        <v>23.17</v>
      </c>
      <c r="G6">
        <v>0.1</v>
      </c>
      <c r="H6" s="1">
        <f t="shared" si="0"/>
        <v>5.0000000000000001E-3</v>
      </c>
      <c r="I6" s="5">
        <f t="shared" si="1"/>
        <v>2500000</v>
      </c>
      <c r="J6" s="6">
        <f t="shared" si="2"/>
        <v>49212.598425196855</v>
      </c>
      <c r="K6" s="4">
        <f t="shared" si="2"/>
        <v>2.2268144083799481E-2</v>
      </c>
      <c r="L6" s="1">
        <f t="shared" si="3"/>
        <v>2.1783075421720342E-2</v>
      </c>
      <c r="M6">
        <f t="shared" si="7"/>
        <v>6.364062883065384</v>
      </c>
      <c r="N6" s="5">
        <f t="shared" si="4"/>
        <v>1591.015720766346</v>
      </c>
      <c r="O6" s="3">
        <f t="shared" si="5"/>
        <v>250000</v>
      </c>
      <c r="P6" s="5">
        <f t="shared" si="6"/>
        <v>248408.98427923364</v>
      </c>
      <c r="R6" t="s">
        <v>4</v>
      </c>
      <c r="S6">
        <v>1.4288515999999999E-2</v>
      </c>
      <c r="T6">
        <v>1.1037646999999999E-2</v>
      </c>
      <c r="U6">
        <v>1.4933154000000001E-2</v>
      </c>
      <c r="V6">
        <v>1.6771273999999999E-2</v>
      </c>
      <c r="W6">
        <v>4.1702840999999997E-2</v>
      </c>
      <c r="X6">
        <v>8.8337369999999995E-3</v>
      </c>
      <c r="Y6">
        <v>1.5441902E-2</v>
      </c>
      <c r="Z6">
        <v>2.0427667E-2</v>
      </c>
      <c r="AA6">
        <v>1.6111365999999998E-2</v>
      </c>
      <c r="AB6">
        <v>1.2096318999999999E-2</v>
      </c>
      <c r="AC6">
        <v>1.5552655E-2</v>
      </c>
      <c r="AD6">
        <v>1.2800272999999999E-2</v>
      </c>
      <c r="AE6">
        <v>1.2472197000000001E-2</v>
      </c>
      <c r="AF6">
        <v>1.1974423E-2</v>
      </c>
      <c r="AG6">
        <v>9.9659359999999999E-3</v>
      </c>
      <c r="AH6">
        <v>6.9924239999999997E-3</v>
      </c>
      <c r="AI6">
        <v>1.4727825999999999E-2</v>
      </c>
      <c r="AJ6">
        <v>1.3914826999999999E-2</v>
      </c>
      <c r="AK6">
        <v>1.2137656E-2</v>
      </c>
      <c r="AL6">
        <v>1.2159328E-2</v>
      </c>
      <c r="AM6">
        <v>1.6608996000000001E-2</v>
      </c>
      <c r="AN6">
        <v>7.913359E-3</v>
      </c>
      <c r="AO6">
        <v>1.0984291E-2</v>
      </c>
      <c r="AP6">
        <v>1.391967E-2</v>
      </c>
      <c r="AQ6">
        <v>1.4528236999999999E-2</v>
      </c>
      <c r="AS6">
        <v>0.04</v>
      </c>
      <c r="AT6">
        <v>5</v>
      </c>
    </row>
    <row r="7" spans="1:57" x14ac:dyDescent="0.2">
      <c r="A7">
        <v>4</v>
      </c>
      <c r="B7" t="s">
        <v>5</v>
      </c>
      <c r="C7">
        <v>81.91</v>
      </c>
      <c r="D7">
        <v>2550000</v>
      </c>
      <c r="E7" s="11">
        <v>0.16881943016134132</v>
      </c>
      <c r="F7">
        <v>24.09</v>
      </c>
      <c r="G7">
        <v>0.08</v>
      </c>
      <c r="H7" s="1">
        <f t="shared" si="0"/>
        <v>0.11795776891967774</v>
      </c>
      <c r="I7" s="5">
        <f t="shared" si="1"/>
        <v>58978884.459838867</v>
      </c>
      <c r="J7" s="6">
        <f t="shared" si="2"/>
        <v>720044.98180733575</v>
      </c>
      <c r="K7" s="4">
        <f t="shared" si="2"/>
        <v>0.28237058110091595</v>
      </c>
      <c r="L7" s="1">
        <f t="shared" si="3"/>
        <v>0.22019421317237378</v>
      </c>
      <c r="M7">
        <f t="shared" si="7"/>
        <v>56.376819293145289</v>
      </c>
      <c r="N7" s="5">
        <f t="shared" si="4"/>
        <v>332504.19113036309</v>
      </c>
      <c r="O7" s="3">
        <f t="shared" si="5"/>
        <v>4718310.7567871092</v>
      </c>
      <c r="P7" s="5">
        <f t="shared" si="6"/>
        <v>4385806.5656567458</v>
      </c>
      <c r="R7" t="s">
        <v>5</v>
      </c>
      <c r="S7">
        <v>8.5739309999999999E-3</v>
      </c>
      <c r="T7">
        <v>6.8283659999999998E-3</v>
      </c>
      <c r="U7">
        <v>8.9398870000000005E-3</v>
      </c>
      <c r="V7">
        <v>9.9560359999999997E-3</v>
      </c>
      <c r="W7">
        <v>8.8337369999999995E-3</v>
      </c>
      <c r="X7">
        <v>2.8736925E-2</v>
      </c>
      <c r="Y7">
        <v>9.3510520000000003E-3</v>
      </c>
      <c r="Z7">
        <v>1.2249848000000001E-2</v>
      </c>
      <c r="AA7">
        <v>9.4771969999999997E-3</v>
      </c>
      <c r="AB7">
        <v>7.3057189999999996E-3</v>
      </c>
      <c r="AC7">
        <v>8.8424109999999997E-3</v>
      </c>
      <c r="AD7">
        <v>7.5612500000000003E-3</v>
      </c>
      <c r="AE7">
        <v>7.5125890000000001E-3</v>
      </c>
      <c r="AF7">
        <v>7.1863710000000004E-3</v>
      </c>
      <c r="AG7">
        <v>6.2104170000000002E-3</v>
      </c>
      <c r="AH7">
        <v>4.387981E-3</v>
      </c>
      <c r="AI7">
        <v>8.3743129999999995E-3</v>
      </c>
      <c r="AJ7">
        <v>8.4597860000000004E-3</v>
      </c>
      <c r="AK7">
        <v>7.2692859999999998E-3</v>
      </c>
      <c r="AL7">
        <v>7.0373629999999996E-3</v>
      </c>
      <c r="AM7">
        <v>9.892863E-3</v>
      </c>
      <c r="AN7">
        <v>4.9855979999999999E-3</v>
      </c>
      <c r="AO7">
        <v>6.8147720000000002E-3</v>
      </c>
      <c r="AP7">
        <v>8.0249989999999997E-3</v>
      </c>
      <c r="AQ7">
        <v>8.5800809999999998E-3</v>
      </c>
      <c r="AS7">
        <v>0.04</v>
      </c>
      <c r="AT7">
        <v>6</v>
      </c>
    </row>
    <row r="8" spans="1:57" x14ac:dyDescent="0.2">
      <c r="A8">
        <v>4</v>
      </c>
      <c r="B8" t="s">
        <v>6</v>
      </c>
      <c r="C8">
        <v>52.99</v>
      </c>
      <c r="D8">
        <v>4036000</v>
      </c>
      <c r="E8" s="11">
        <v>0.22360679774997896</v>
      </c>
      <c r="F8">
        <v>24.43</v>
      </c>
      <c r="G8">
        <v>0.09</v>
      </c>
      <c r="H8" s="1">
        <f t="shared" si="0"/>
        <v>5.0000000000000001E-3</v>
      </c>
      <c r="I8" s="5">
        <f t="shared" si="1"/>
        <v>2500000</v>
      </c>
      <c r="J8" s="6">
        <f t="shared" si="2"/>
        <v>47178.712964710321</v>
      </c>
      <c r="K8" s="4">
        <f t="shared" si="2"/>
        <v>1.1689472984318713E-2</v>
      </c>
      <c r="L8" s="1">
        <f t="shared" si="3"/>
        <v>1.1554408043642756E-2</v>
      </c>
      <c r="M8">
        <f t="shared" si="7"/>
        <v>4.0350604939115868</v>
      </c>
      <c r="N8" s="5">
        <f t="shared" si="4"/>
        <v>1008.7651234778967</v>
      </c>
      <c r="O8" s="3">
        <f t="shared" si="5"/>
        <v>225000</v>
      </c>
      <c r="P8" s="5">
        <f t="shared" si="6"/>
        <v>223991.2348765221</v>
      </c>
      <c r="R8" t="s">
        <v>6</v>
      </c>
      <c r="S8">
        <v>1.4396213E-2</v>
      </c>
      <c r="T8">
        <v>1.1370447000000001E-2</v>
      </c>
      <c r="U8">
        <v>1.5734531999999999E-2</v>
      </c>
      <c r="V8">
        <v>1.7689013E-2</v>
      </c>
      <c r="W8">
        <v>1.5441902E-2</v>
      </c>
      <c r="X8">
        <v>9.3510520000000003E-3</v>
      </c>
      <c r="Y8">
        <v>5.0373813000000003E-2</v>
      </c>
      <c r="Z8">
        <v>2.3111368E-2</v>
      </c>
      <c r="AA8">
        <v>1.7488133999999999E-2</v>
      </c>
      <c r="AB8">
        <v>1.2726790999999999E-2</v>
      </c>
      <c r="AC8">
        <v>1.4184054999999999E-2</v>
      </c>
      <c r="AD8">
        <v>1.3518128000000001E-2</v>
      </c>
      <c r="AE8">
        <v>1.3099230999999999E-2</v>
      </c>
      <c r="AF8">
        <v>1.2239831E-2</v>
      </c>
      <c r="AG8">
        <v>1.0380172E-2</v>
      </c>
      <c r="AH8">
        <v>7.3234349999999997E-3</v>
      </c>
      <c r="AI8">
        <v>1.434768E-2</v>
      </c>
      <c r="AJ8">
        <v>1.4501042E-2</v>
      </c>
      <c r="AK8">
        <v>1.2614465E-2</v>
      </c>
      <c r="AL8">
        <v>1.3467321000000001E-2</v>
      </c>
      <c r="AM8">
        <v>1.7177246E-2</v>
      </c>
      <c r="AN8">
        <v>7.9968969999999993E-3</v>
      </c>
      <c r="AO8">
        <v>1.0933399E-2</v>
      </c>
      <c r="AP8">
        <v>1.3502448E-2</v>
      </c>
      <c r="AQ8">
        <v>1.4902575E-2</v>
      </c>
      <c r="AS8">
        <v>0.04</v>
      </c>
      <c r="AT8">
        <v>7</v>
      </c>
    </row>
    <row r="9" spans="1:57" x14ac:dyDescent="0.2">
      <c r="A9">
        <v>4</v>
      </c>
      <c r="B9" t="s">
        <v>7</v>
      </c>
      <c r="C9">
        <v>131.25</v>
      </c>
      <c r="D9">
        <v>5468000</v>
      </c>
      <c r="E9" s="11">
        <v>0.28195744359743369</v>
      </c>
      <c r="F9">
        <v>25.21</v>
      </c>
      <c r="G9">
        <v>0.17</v>
      </c>
      <c r="H9" s="1">
        <f t="shared" si="0"/>
        <v>5.0000000000000001E-3</v>
      </c>
      <c r="I9" s="5">
        <f t="shared" si="1"/>
        <v>2500000</v>
      </c>
      <c r="J9" s="6">
        <f t="shared" si="2"/>
        <v>19047.619047619046</v>
      </c>
      <c r="K9" s="4">
        <f t="shared" si="2"/>
        <v>3.4834709304350851E-3</v>
      </c>
      <c r="L9" s="1">
        <f t="shared" si="3"/>
        <v>3.4713784843961536E-3</v>
      </c>
      <c r="M9">
        <f t="shared" si="7"/>
        <v>2.0571197933114025</v>
      </c>
      <c r="N9" s="5">
        <f t="shared" si="4"/>
        <v>514.27994832785055</v>
      </c>
      <c r="O9" s="3">
        <f t="shared" si="5"/>
        <v>425000.00000000006</v>
      </c>
      <c r="P9" s="5">
        <f t="shared" si="6"/>
        <v>424485.72005167219</v>
      </c>
      <c r="R9" t="s">
        <v>7</v>
      </c>
      <c r="S9">
        <v>1.6525015000000001E-2</v>
      </c>
      <c r="T9">
        <v>1.379623E-2</v>
      </c>
      <c r="U9">
        <v>2.0566745000000001E-2</v>
      </c>
      <c r="V9">
        <v>2.3247451999999998E-2</v>
      </c>
      <c r="W9">
        <v>2.0427667E-2</v>
      </c>
      <c r="X9">
        <v>1.2249848000000001E-2</v>
      </c>
      <c r="Y9">
        <v>2.3111368E-2</v>
      </c>
      <c r="Z9">
        <v>8.0008229E-2</v>
      </c>
      <c r="AA9">
        <v>2.4757514000000001E-2</v>
      </c>
      <c r="AB9">
        <v>1.6521503999999999E-2</v>
      </c>
      <c r="AC9">
        <v>1.1288289E-2</v>
      </c>
      <c r="AD9">
        <v>1.7854774E-2</v>
      </c>
      <c r="AE9">
        <v>1.6940710000000001E-2</v>
      </c>
      <c r="AF9">
        <v>1.4681994E-2</v>
      </c>
      <c r="AG9">
        <v>1.296371E-2</v>
      </c>
      <c r="AH9">
        <v>9.2645120000000008E-3</v>
      </c>
      <c r="AI9">
        <v>1.5050312E-2</v>
      </c>
      <c r="AJ9">
        <v>1.8300312999999999E-2</v>
      </c>
      <c r="AK9">
        <v>1.5883161999999999E-2</v>
      </c>
      <c r="AL9">
        <v>2.0053793E-2</v>
      </c>
      <c r="AM9">
        <v>2.137505E-2</v>
      </c>
      <c r="AN9">
        <v>9.0834869999999995E-3</v>
      </c>
      <c r="AO9">
        <v>1.1895149000000001E-2</v>
      </c>
      <c r="AP9">
        <v>1.3863851999999999E-2</v>
      </c>
      <c r="AQ9">
        <v>1.8169238000000001E-2</v>
      </c>
      <c r="AS9">
        <v>0.04</v>
      </c>
      <c r="AT9">
        <v>8</v>
      </c>
    </row>
    <row r="10" spans="1:57" x14ac:dyDescent="0.2">
      <c r="A10">
        <v>4</v>
      </c>
      <c r="B10" t="s">
        <v>8</v>
      </c>
      <c r="C10">
        <v>71.72</v>
      </c>
      <c r="D10">
        <v>1652000</v>
      </c>
      <c r="E10" s="11">
        <v>0.21737065119284157</v>
      </c>
      <c r="F10">
        <v>23.73</v>
      </c>
      <c r="G10">
        <v>0.14000000000000001</v>
      </c>
      <c r="H10" s="1">
        <f t="shared" si="0"/>
        <v>5.0000000000000001E-3</v>
      </c>
      <c r="I10" s="5">
        <f t="shared" si="1"/>
        <v>2500000</v>
      </c>
      <c r="J10" s="6">
        <f t="shared" si="2"/>
        <v>34857.780256553262</v>
      </c>
      <c r="K10" s="4">
        <f t="shared" si="2"/>
        <v>2.1100351244886961E-2</v>
      </c>
      <c r="L10" s="1">
        <f t="shared" si="3"/>
        <v>2.0664326693416772E-2</v>
      </c>
      <c r="M10">
        <f t="shared" si="7"/>
        <v>6.3150465600509973</v>
      </c>
      <c r="N10" s="5">
        <f t="shared" si="4"/>
        <v>1578.7616400127492</v>
      </c>
      <c r="O10" s="3">
        <f t="shared" si="5"/>
        <v>350000.00000000006</v>
      </c>
      <c r="P10" s="5">
        <f t="shared" si="6"/>
        <v>348421.23835998733</v>
      </c>
      <c r="R10" t="s">
        <v>8</v>
      </c>
      <c r="S10">
        <v>1.5196238000000001E-2</v>
      </c>
      <c r="T10">
        <v>1.1402361E-2</v>
      </c>
      <c r="U10">
        <v>1.6765188E-2</v>
      </c>
      <c r="V10">
        <v>1.9109977E-2</v>
      </c>
      <c r="W10">
        <v>1.6111365999999998E-2</v>
      </c>
      <c r="X10">
        <v>9.4771969999999997E-3</v>
      </c>
      <c r="Y10">
        <v>1.7488133999999999E-2</v>
      </c>
      <c r="Z10">
        <v>2.4757514000000001E-2</v>
      </c>
      <c r="AA10">
        <v>4.7500506999999997E-2</v>
      </c>
      <c r="AB10">
        <v>1.3360161000000001E-2</v>
      </c>
      <c r="AC10">
        <v>1.6286947999999999E-2</v>
      </c>
      <c r="AD10">
        <v>1.4721553E-2</v>
      </c>
      <c r="AE10">
        <v>1.3810118E-2</v>
      </c>
      <c r="AF10">
        <v>1.2940202E-2</v>
      </c>
      <c r="AG10">
        <v>1.0291391E-2</v>
      </c>
      <c r="AH10">
        <v>7.1744640000000002E-3</v>
      </c>
      <c r="AI10">
        <v>1.6509431000000001E-2</v>
      </c>
      <c r="AJ10">
        <v>1.5031246999999999E-2</v>
      </c>
      <c r="AK10">
        <v>1.3410089E-2</v>
      </c>
      <c r="AL10">
        <v>1.5177207999999999E-2</v>
      </c>
      <c r="AM10">
        <v>1.841775E-2</v>
      </c>
      <c r="AN10">
        <v>7.7125079999999999E-3</v>
      </c>
      <c r="AO10">
        <v>1.0833048E-2</v>
      </c>
      <c r="AP10">
        <v>1.5194439000000001E-2</v>
      </c>
      <c r="AQ10">
        <v>1.6191100999999999E-2</v>
      </c>
      <c r="AS10">
        <v>0.04</v>
      </c>
      <c r="AT10">
        <v>9</v>
      </c>
    </row>
    <row r="11" spans="1:57" x14ac:dyDescent="0.2">
      <c r="A11">
        <v>4</v>
      </c>
      <c r="B11" t="s">
        <v>9</v>
      </c>
      <c r="C11">
        <v>58.89</v>
      </c>
      <c r="D11">
        <v>3777000</v>
      </c>
      <c r="E11" s="11">
        <v>0.24545875417267154</v>
      </c>
      <c r="F11">
        <v>23.09</v>
      </c>
      <c r="G11">
        <v>0.12</v>
      </c>
      <c r="H11" s="1">
        <f t="shared" si="0"/>
        <v>2.663880315491433E-2</v>
      </c>
      <c r="I11" s="5">
        <f t="shared" si="1"/>
        <v>13319401.577457165</v>
      </c>
      <c r="J11" s="6">
        <f t="shared" si="2"/>
        <v>226174.24991436859</v>
      </c>
      <c r="K11" s="4">
        <f t="shared" si="2"/>
        <v>5.9881983032663115E-2</v>
      </c>
      <c r="L11" s="1">
        <f t="shared" si="3"/>
        <v>5.6498727208591192E-2</v>
      </c>
      <c r="M11">
        <f t="shared" si="7"/>
        <v>16.810365166270234</v>
      </c>
      <c r="N11" s="5">
        <f t="shared" si="4"/>
        <v>22390.400431325073</v>
      </c>
      <c r="O11" s="3">
        <f t="shared" si="5"/>
        <v>1598328.1892948598</v>
      </c>
      <c r="P11" s="5">
        <f t="shared" si="6"/>
        <v>1575937.7888635348</v>
      </c>
      <c r="R11" t="s">
        <v>9</v>
      </c>
      <c r="S11">
        <v>1.2164378E-2</v>
      </c>
      <c r="T11">
        <v>9.2278780000000001E-3</v>
      </c>
      <c r="U11">
        <v>1.2484011999999999E-2</v>
      </c>
      <c r="V11">
        <v>1.4048568000000001E-2</v>
      </c>
      <c r="W11">
        <v>1.2096318999999999E-2</v>
      </c>
      <c r="X11">
        <v>7.3057189999999996E-3</v>
      </c>
      <c r="Y11">
        <v>1.2726790999999999E-2</v>
      </c>
      <c r="Z11">
        <v>1.6521503999999999E-2</v>
      </c>
      <c r="AA11">
        <v>1.3360161000000001E-2</v>
      </c>
      <c r="AB11">
        <v>6.0673428000000001E-2</v>
      </c>
      <c r="AC11">
        <v>1.3950921E-2</v>
      </c>
      <c r="AD11">
        <v>1.0731345999999999E-2</v>
      </c>
      <c r="AE11">
        <v>1.0422692000000001E-2</v>
      </c>
      <c r="AF11">
        <v>1.0133469000000001E-2</v>
      </c>
      <c r="AG11">
        <v>8.2744640000000005E-3</v>
      </c>
      <c r="AH11">
        <v>5.7793760000000001E-3</v>
      </c>
      <c r="AI11">
        <v>1.2894783999999999E-2</v>
      </c>
      <c r="AJ11">
        <v>1.1635776E-2</v>
      </c>
      <c r="AK11">
        <v>1.020601E-2</v>
      </c>
      <c r="AL11">
        <v>1.0036688E-2</v>
      </c>
      <c r="AM11">
        <v>1.4016733999999999E-2</v>
      </c>
      <c r="AN11">
        <v>6.6329930000000002E-3</v>
      </c>
      <c r="AO11">
        <v>9.3072239999999994E-3</v>
      </c>
      <c r="AP11">
        <v>1.2162709000000001E-2</v>
      </c>
      <c r="AQ11">
        <v>1.2332696000000001E-2</v>
      </c>
      <c r="AS11">
        <v>0.04</v>
      </c>
      <c r="AT11">
        <v>10</v>
      </c>
    </row>
    <row r="12" spans="1:57" x14ac:dyDescent="0.2">
      <c r="A12">
        <v>4</v>
      </c>
      <c r="B12" t="s">
        <v>10</v>
      </c>
      <c r="C12">
        <v>8.66</v>
      </c>
      <c r="D12">
        <v>13378000</v>
      </c>
      <c r="E12" s="11">
        <v>0.40650953248355692</v>
      </c>
      <c r="F12">
        <v>22.02</v>
      </c>
      <c r="G12">
        <v>0.21</v>
      </c>
      <c r="H12" s="1">
        <f t="shared" si="0"/>
        <v>5.0000000000000001E-3</v>
      </c>
      <c r="I12" s="5">
        <f t="shared" si="1"/>
        <v>2500000</v>
      </c>
      <c r="J12" s="6">
        <f t="shared" si="2"/>
        <v>288683.60277136258</v>
      </c>
      <c r="K12" s="4">
        <f t="shared" si="2"/>
        <v>2.1578980622765927E-2</v>
      </c>
      <c r="L12" s="1">
        <f t="shared" si="3"/>
        <v>2.1123164270285925E-2</v>
      </c>
      <c r="M12">
        <f t="shared" si="7"/>
        <v>9.1672920856685511</v>
      </c>
      <c r="N12" s="5">
        <f t="shared" si="4"/>
        <v>2291.8230214171376</v>
      </c>
      <c r="O12" s="3">
        <f t="shared" si="5"/>
        <v>525000</v>
      </c>
      <c r="P12" s="5">
        <f t="shared" si="6"/>
        <v>522708.17697858287</v>
      </c>
      <c r="R12" t="s">
        <v>10</v>
      </c>
      <c r="S12">
        <v>2.2022389E-2</v>
      </c>
      <c r="T12">
        <v>1.3389317E-2</v>
      </c>
      <c r="U12">
        <v>1.7664776E-2</v>
      </c>
      <c r="V12">
        <v>2.0364139E-2</v>
      </c>
      <c r="W12">
        <v>1.5552655E-2</v>
      </c>
      <c r="X12">
        <v>8.8424109999999997E-3</v>
      </c>
      <c r="Y12">
        <v>1.4184054999999999E-2</v>
      </c>
      <c r="Z12">
        <v>1.1288289E-2</v>
      </c>
      <c r="AA12">
        <v>1.6286947999999999E-2</v>
      </c>
      <c r="AB12">
        <v>1.3950921E-2</v>
      </c>
      <c r="AC12">
        <v>0.16642889799999999</v>
      </c>
      <c r="AD12">
        <v>1.5699439999999999E-2</v>
      </c>
      <c r="AE12">
        <v>1.4728309E-2</v>
      </c>
      <c r="AF12">
        <v>1.7044930999999999E-2</v>
      </c>
      <c r="AG12">
        <v>1.0821694999999999E-2</v>
      </c>
      <c r="AH12">
        <v>7.0277580000000003E-3</v>
      </c>
      <c r="AI12">
        <v>3.0299209000000001E-2</v>
      </c>
      <c r="AJ12">
        <v>1.6720395999999998E-2</v>
      </c>
      <c r="AK12">
        <v>1.5732393000000001E-2</v>
      </c>
      <c r="AL12">
        <v>1.1049302E-2</v>
      </c>
      <c r="AM12">
        <v>2.2632334E-2</v>
      </c>
      <c r="AN12">
        <v>1.0128401E-2</v>
      </c>
      <c r="AO12">
        <v>1.6230772000000001E-2</v>
      </c>
      <c r="AP12">
        <v>2.8228306000000002E-2</v>
      </c>
      <c r="AQ12">
        <v>2.1360833999999999E-2</v>
      </c>
      <c r="AS12">
        <v>0.04</v>
      </c>
      <c r="AT12">
        <v>11</v>
      </c>
    </row>
    <row r="13" spans="1:57" x14ac:dyDescent="0.2">
      <c r="A13">
        <v>4</v>
      </c>
      <c r="B13" t="s">
        <v>11</v>
      </c>
      <c r="C13">
        <v>69.75</v>
      </c>
      <c r="D13">
        <v>1680000</v>
      </c>
      <c r="E13" s="11">
        <v>0.21447610589527216</v>
      </c>
      <c r="F13">
        <v>23.01</v>
      </c>
      <c r="G13">
        <v>0.15</v>
      </c>
      <c r="H13" s="1">
        <f t="shared" si="0"/>
        <v>4.5241729382542305E-2</v>
      </c>
      <c r="I13" s="5">
        <f t="shared" si="1"/>
        <v>22620864.691271152</v>
      </c>
      <c r="J13" s="6">
        <f t="shared" si="2"/>
        <v>324313.4722762889</v>
      </c>
      <c r="K13" s="4">
        <f t="shared" si="2"/>
        <v>0.193043733497791</v>
      </c>
      <c r="L13" s="1">
        <f t="shared" si="3"/>
        <v>0.16180775949580764</v>
      </c>
      <c r="M13">
        <f t="shared" si="7"/>
        <v>45.852549503025088</v>
      </c>
      <c r="N13" s="5">
        <f t="shared" si="4"/>
        <v>103722.43180577429</v>
      </c>
      <c r="O13" s="3">
        <f t="shared" si="5"/>
        <v>3393129.7036906728</v>
      </c>
      <c r="P13" s="5">
        <f t="shared" si="6"/>
        <v>3289407.2718848987</v>
      </c>
      <c r="R13" t="s">
        <v>11</v>
      </c>
      <c r="S13">
        <v>1.2989624999999999E-2</v>
      </c>
      <c r="T13">
        <v>9.4890830000000006E-3</v>
      </c>
      <c r="U13">
        <v>1.3423829999999999E-2</v>
      </c>
      <c r="V13">
        <v>1.52652E-2</v>
      </c>
      <c r="W13">
        <v>1.2800272999999999E-2</v>
      </c>
      <c r="X13">
        <v>7.5612500000000003E-3</v>
      </c>
      <c r="Y13">
        <v>1.3518128000000001E-2</v>
      </c>
      <c r="Z13">
        <v>1.7854774E-2</v>
      </c>
      <c r="AA13">
        <v>1.4721553E-2</v>
      </c>
      <c r="AB13">
        <v>1.0731345999999999E-2</v>
      </c>
      <c r="AC13">
        <v>1.5699439999999999E-2</v>
      </c>
      <c r="AD13">
        <v>4.6404560999999997E-2</v>
      </c>
      <c r="AE13">
        <v>1.1117919E-2</v>
      </c>
      <c r="AF13">
        <v>1.0832688E-2</v>
      </c>
      <c r="AG13">
        <v>8.4308830000000001E-3</v>
      </c>
      <c r="AH13">
        <v>5.8332619999999996E-3</v>
      </c>
      <c r="AI13">
        <v>1.4599045E-2</v>
      </c>
      <c r="AJ13">
        <v>1.225651E-2</v>
      </c>
      <c r="AK13">
        <v>1.0954731000000001E-2</v>
      </c>
      <c r="AL13">
        <v>1.1297681E-2</v>
      </c>
      <c r="AM13">
        <v>1.5139929E-2</v>
      </c>
      <c r="AN13">
        <v>6.6406089999999996E-3</v>
      </c>
      <c r="AO13">
        <v>9.5093629999999998E-3</v>
      </c>
      <c r="AP13">
        <v>1.3560801000000001E-2</v>
      </c>
      <c r="AQ13">
        <v>1.3448009E-2</v>
      </c>
      <c r="AS13">
        <v>0.04</v>
      </c>
      <c r="AT13">
        <v>12</v>
      </c>
    </row>
    <row r="14" spans="1:57" x14ac:dyDescent="0.2">
      <c r="A14">
        <v>4</v>
      </c>
      <c r="B14" t="s">
        <v>12</v>
      </c>
      <c r="C14">
        <v>144.06</v>
      </c>
      <c r="D14">
        <v>1834000</v>
      </c>
      <c r="E14" s="11">
        <v>0.2382225849914319</v>
      </c>
      <c r="F14">
        <v>24.27</v>
      </c>
      <c r="G14">
        <v>0.14000000000000001</v>
      </c>
      <c r="H14" s="1">
        <f t="shared" si="0"/>
        <v>3.1812448245827789E-2</v>
      </c>
      <c r="I14" s="5">
        <f t="shared" si="1"/>
        <v>15906224.122913895</v>
      </c>
      <c r="J14" s="6">
        <f t="shared" si="2"/>
        <v>110413.88395747532</v>
      </c>
      <c r="K14" s="4">
        <f t="shared" si="2"/>
        <v>6.0203862572233001E-2</v>
      </c>
      <c r="L14" s="1">
        <f t="shared" si="3"/>
        <v>5.6785175660620871E-2</v>
      </c>
      <c r="M14">
        <f t="shared" si="7"/>
        <v>16.609129352367773</v>
      </c>
      <c r="N14" s="5">
        <f t="shared" si="4"/>
        <v>26418.853396522954</v>
      </c>
      <c r="O14" s="3">
        <f t="shared" si="5"/>
        <v>2226871.3772079456</v>
      </c>
      <c r="P14" s="5">
        <f t="shared" si="6"/>
        <v>2200452.5238114228</v>
      </c>
      <c r="R14" t="s">
        <v>12</v>
      </c>
      <c r="S14">
        <v>1.2630687E-2</v>
      </c>
      <c r="T14">
        <v>9.5118640000000001E-3</v>
      </c>
      <c r="U14">
        <v>1.2908685E-2</v>
      </c>
      <c r="V14">
        <v>1.4544969E-2</v>
      </c>
      <c r="W14">
        <v>1.2472197000000001E-2</v>
      </c>
      <c r="X14">
        <v>7.5125890000000001E-3</v>
      </c>
      <c r="Y14">
        <v>1.3099230999999999E-2</v>
      </c>
      <c r="Z14">
        <v>1.6940710000000001E-2</v>
      </c>
      <c r="AA14">
        <v>1.3810118E-2</v>
      </c>
      <c r="AB14">
        <v>1.0422692000000001E-2</v>
      </c>
      <c r="AC14">
        <v>1.4728309E-2</v>
      </c>
      <c r="AD14">
        <v>1.1117919E-2</v>
      </c>
      <c r="AE14">
        <v>5.7104507999999998E-2</v>
      </c>
      <c r="AF14">
        <v>1.0506725999999999E-2</v>
      </c>
      <c r="AG14">
        <v>8.5083220000000005E-3</v>
      </c>
      <c r="AH14">
        <v>5.9317909999999996E-3</v>
      </c>
      <c r="AI14">
        <v>1.3540416E-2</v>
      </c>
      <c r="AJ14">
        <v>1.2014726E-2</v>
      </c>
      <c r="AK14">
        <v>1.0567653E-2</v>
      </c>
      <c r="AL14">
        <v>1.0378722E-2</v>
      </c>
      <c r="AM14">
        <v>1.4533574E-2</v>
      </c>
      <c r="AN14">
        <v>6.8292259999999999E-3</v>
      </c>
      <c r="AO14">
        <v>9.6226279999999994E-3</v>
      </c>
      <c r="AP14">
        <v>1.2750897000000001E-2</v>
      </c>
      <c r="AQ14">
        <v>1.281536E-2</v>
      </c>
      <c r="AS14">
        <v>0.04</v>
      </c>
      <c r="AT14">
        <v>13</v>
      </c>
    </row>
    <row r="15" spans="1:57" x14ac:dyDescent="0.2">
      <c r="A15">
        <v>4</v>
      </c>
      <c r="B15" t="s">
        <v>13</v>
      </c>
      <c r="C15">
        <v>55.21</v>
      </c>
      <c r="D15">
        <v>566000</v>
      </c>
      <c r="E15" s="11">
        <v>0.1414213562373095</v>
      </c>
      <c r="F15">
        <v>23.03</v>
      </c>
      <c r="G15">
        <v>0.06</v>
      </c>
      <c r="H15" s="1">
        <f t="shared" si="0"/>
        <v>1.2505278581507467E-2</v>
      </c>
      <c r="I15" s="5">
        <f t="shared" si="1"/>
        <v>6252639.2907537334</v>
      </c>
      <c r="J15" s="6">
        <f t="shared" si="2"/>
        <v>113251.9342646936</v>
      </c>
      <c r="K15" s="4">
        <f t="shared" si="2"/>
        <v>0.20009175665140211</v>
      </c>
      <c r="L15" s="1">
        <f t="shared" si="3"/>
        <v>0.16673038169157592</v>
      </c>
      <c r="M15">
        <f t="shared" si="7"/>
        <v>37.429051862172813</v>
      </c>
      <c r="N15" s="5">
        <f t="shared" si="4"/>
        <v>23403.036028908089</v>
      </c>
      <c r="O15" s="3">
        <f t="shared" si="5"/>
        <v>375158.35744522401</v>
      </c>
      <c r="P15" s="5">
        <f t="shared" si="6"/>
        <v>351755.32141631591</v>
      </c>
      <c r="R15" t="s">
        <v>13</v>
      </c>
      <c r="S15">
        <v>1.3026874000000001E-2</v>
      </c>
      <c r="T15">
        <v>9.4450660000000002E-3</v>
      </c>
      <c r="U15">
        <v>1.2562039000000001E-2</v>
      </c>
      <c r="V15">
        <v>1.4174340000000001E-2</v>
      </c>
      <c r="W15">
        <v>1.1974423E-2</v>
      </c>
      <c r="X15">
        <v>7.1863710000000004E-3</v>
      </c>
      <c r="Y15">
        <v>1.2239831E-2</v>
      </c>
      <c r="Z15">
        <v>1.4681994E-2</v>
      </c>
      <c r="AA15">
        <v>1.2940202E-2</v>
      </c>
      <c r="AB15">
        <v>1.0133469000000001E-2</v>
      </c>
      <c r="AC15">
        <v>1.7044930999999999E-2</v>
      </c>
      <c r="AD15">
        <v>1.0832688E-2</v>
      </c>
      <c r="AE15">
        <v>1.0506725999999999E-2</v>
      </c>
      <c r="AF15">
        <v>2.0000002999999999E-2</v>
      </c>
      <c r="AG15">
        <v>8.3002260000000008E-3</v>
      </c>
      <c r="AH15">
        <v>5.7266840000000001E-3</v>
      </c>
      <c r="AI15">
        <v>1.4709656999999999E-2</v>
      </c>
      <c r="AJ15">
        <v>1.1812018000000001E-2</v>
      </c>
      <c r="AK15">
        <v>1.0479732E-2</v>
      </c>
      <c r="AL15">
        <v>9.4740680000000004E-3</v>
      </c>
      <c r="AM15">
        <v>1.4532249000000001E-2</v>
      </c>
      <c r="AN15">
        <v>6.9135780000000001E-3</v>
      </c>
      <c r="AO15">
        <v>9.9745279999999999E-3</v>
      </c>
      <c r="AP15">
        <v>1.3870406E-2</v>
      </c>
      <c r="AQ15">
        <v>1.2984974E-2</v>
      </c>
      <c r="AS15">
        <v>0.04</v>
      </c>
      <c r="AT15">
        <v>14</v>
      </c>
    </row>
    <row r="16" spans="1:57" x14ac:dyDescent="0.2">
      <c r="A16">
        <v>4</v>
      </c>
      <c r="B16" t="s">
        <v>14</v>
      </c>
      <c r="C16">
        <v>68.02</v>
      </c>
      <c r="D16">
        <v>3051000</v>
      </c>
      <c r="E16" s="11">
        <v>0.13874436925511607</v>
      </c>
      <c r="F16">
        <v>24.82</v>
      </c>
      <c r="G16">
        <v>7.0000000000000007E-2</v>
      </c>
      <c r="H16" s="1">
        <f t="shared" si="0"/>
        <v>0.13561973449734074</v>
      </c>
      <c r="I16" s="5">
        <f t="shared" si="1"/>
        <v>67809867.248670369</v>
      </c>
      <c r="J16" s="6">
        <f t="shared" si="2"/>
        <v>996910.72109189024</v>
      </c>
      <c r="K16" s="4">
        <f t="shared" si="2"/>
        <v>0.32674884336017379</v>
      </c>
      <c r="L16" s="1">
        <f t="shared" si="3"/>
        <v>0.24627784301106867</v>
      </c>
      <c r="M16">
        <f t="shared" si="7"/>
        <v>57.34488219306094</v>
      </c>
      <c r="N16" s="5">
        <f t="shared" si="4"/>
        <v>388854.88489021041</v>
      </c>
      <c r="O16" s="3">
        <f t="shared" si="5"/>
        <v>4746690.707406926</v>
      </c>
      <c r="P16" s="5">
        <f t="shared" si="6"/>
        <v>4357835.8225167152</v>
      </c>
      <c r="R16" t="s">
        <v>14</v>
      </c>
      <c r="S16">
        <v>1.0012559000000001E-2</v>
      </c>
      <c r="T16">
        <v>7.9634219999999995E-3</v>
      </c>
      <c r="U16">
        <v>1.0063574E-2</v>
      </c>
      <c r="V16">
        <v>1.1144744E-2</v>
      </c>
      <c r="W16">
        <v>9.9659359999999999E-3</v>
      </c>
      <c r="X16">
        <v>6.2104170000000002E-3</v>
      </c>
      <c r="Y16">
        <v>1.0380172E-2</v>
      </c>
      <c r="Z16">
        <v>1.296371E-2</v>
      </c>
      <c r="AA16">
        <v>1.0291391E-2</v>
      </c>
      <c r="AB16">
        <v>8.2744640000000005E-3</v>
      </c>
      <c r="AC16">
        <v>1.0821694999999999E-2</v>
      </c>
      <c r="AD16">
        <v>8.4308830000000001E-3</v>
      </c>
      <c r="AE16">
        <v>8.5083220000000005E-3</v>
      </c>
      <c r="AF16">
        <v>8.3002260000000008E-3</v>
      </c>
      <c r="AG16">
        <v>1.945115E-2</v>
      </c>
      <c r="AH16">
        <v>5.0907019999999999E-3</v>
      </c>
      <c r="AI16">
        <v>9.7652720000000002E-3</v>
      </c>
      <c r="AJ16">
        <v>9.6899499999999993E-3</v>
      </c>
      <c r="AK16">
        <v>8.2771019999999997E-3</v>
      </c>
      <c r="AL16">
        <v>7.4223680000000004E-3</v>
      </c>
      <c r="AM16">
        <v>1.1275228E-2</v>
      </c>
      <c r="AN16">
        <v>5.949635E-3</v>
      </c>
      <c r="AO16">
        <v>8.1609860000000003E-3</v>
      </c>
      <c r="AP16">
        <v>9.4538650000000005E-3</v>
      </c>
      <c r="AQ16">
        <v>9.7984189999999992E-3</v>
      </c>
      <c r="AS16">
        <v>0.04</v>
      </c>
      <c r="AT16">
        <v>15</v>
      </c>
    </row>
    <row r="17" spans="1:56" x14ac:dyDescent="0.2">
      <c r="A17">
        <v>4</v>
      </c>
      <c r="B17" t="s">
        <v>15</v>
      </c>
      <c r="C17">
        <v>111.94</v>
      </c>
      <c r="D17">
        <v>1027000</v>
      </c>
      <c r="E17" s="11">
        <v>0.13964240043768941</v>
      </c>
      <c r="F17">
        <v>23.51</v>
      </c>
      <c r="G17">
        <v>0.1</v>
      </c>
      <c r="H17" s="1">
        <f t="shared" si="0"/>
        <v>0.25</v>
      </c>
      <c r="I17" s="5">
        <f t="shared" si="1"/>
        <v>125000000</v>
      </c>
      <c r="J17" s="6">
        <f t="shared" si="2"/>
        <v>1116669.6444523851</v>
      </c>
      <c r="K17" s="4">
        <f t="shared" si="2"/>
        <v>1.0873122146566554</v>
      </c>
      <c r="L17" s="1">
        <f t="shared" si="3"/>
        <v>0.52091498675750758</v>
      </c>
      <c r="M17">
        <f t="shared" si="7"/>
        <v>148.19728010028118</v>
      </c>
      <c r="N17" s="5">
        <f t="shared" si="4"/>
        <v>1852466.0012535148</v>
      </c>
      <c r="O17" s="3">
        <f t="shared" si="5"/>
        <v>12500000</v>
      </c>
      <c r="P17" s="5">
        <f t="shared" si="6"/>
        <v>10647533.998746485</v>
      </c>
      <c r="R17" t="s">
        <v>15</v>
      </c>
      <c r="S17">
        <v>6.8772659999999999E-3</v>
      </c>
      <c r="T17">
        <v>5.5859569999999999E-3</v>
      </c>
      <c r="U17">
        <v>7.0030630000000003E-3</v>
      </c>
      <c r="V17">
        <v>7.7264040000000001E-3</v>
      </c>
      <c r="W17">
        <v>6.9924239999999997E-3</v>
      </c>
      <c r="X17">
        <v>4.387981E-3</v>
      </c>
      <c r="Y17">
        <v>7.3234349999999997E-3</v>
      </c>
      <c r="Z17">
        <v>9.2645120000000008E-3</v>
      </c>
      <c r="AA17">
        <v>7.1744640000000002E-3</v>
      </c>
      <c r="AB17">
        <v>5.7793760000000001E-3</v>
      </c>
      <c r="AC17">
        <v>7.0277580000000003E-3</v>
      </c>
      <c r="AD17">
        <v>5.8332619999999996E-3</v>
      </c>
      <c r="AE17">
        <v>5.9317909999999996E-3</v>
      </c>
      <c r="AF17">
        <v>5.7266840000000001E-3</v>
      </c>
      <c r="AG17">
        <v>5.0907019999999999E-3</v>
      </c>
      <c r="AH17">
        <v>1.9632863E-2</v>
      </c>
      <c r="AI17">
        <v>6.4555020000000001E-3</v>
      </c>
      <c r="AJ17">
        <v>6.7679089999999999E-3</v>
      </c>
      <c r="AK17">
        <v>5.7350980000000001E-3</v>
      </c>
      <c r="AL17">
        <v>5.1714609999999996E-3</v>
      </c>
      <c r="AM17">
        <v>7.7794040000000002E-3</v>
      </c>
      <c r="AN17">
        <v>4.1828660000000004E-3</v>
      </c>
      <c r="AO17">
        <v>5.6738229999999997E-3</v>
      </c>
      <c r="AP17">
        <v>6.2902610000000001E-3</v>
      </c>
      <c r="AQ17">
        <v>6.7143009999999998E-3</v>
      </c>
      <c r="AS17">
        <v>0.04</v>
      </c>
      <c r="AT17">
        <v>16</v>
      </c>
    </row>
    <row r="18" spans="1:56" x14ac:dyDescent="0.2">
      <c r="A18">
        <v>4</v>
      </c>
      <c r="B18" t="s">
        <v>16</v>
      </c>
      <c r="C18">
        <v>47.43</v>
      </c>
      <c r="D18">
        <v>1617000</v>
      </c>
      <c r="E18" s="11">
        <v>0.21505813167606566</v>
      </c>
      <c r="F18">
        <v>22.83</v>
      </c>
      <c r="G18">
        <v>0.09</v>
      </c>
      <c r="H18" s="1">
        <f t="shared" si="0"/>
        <v>5.0000000000000001E-3</v>
      </c>
      <c r="I18" s="5">
        <f t="shared" si="1"/>
        <v>2500000</v>
      </c>
      <c r="J18" s="6">
        <f t="shared" si="2"/>
        <v>52709.255745308874</v>
      </c>
      <c r="K18" s="4">
        <f t="shared" si="2"/>
        <v>3.2596942328576919E-2</v>
      </c>
      <c r="L18" s="1">
        <f t="shared" si="3"/>
        <v>3.1567924513768726E-2</v>
      </c>
      <c r="M18">
        <f t="shared" si="7"/>
        <v>9.0675011483441974</v>
      </c>
      <c r="N18" s="5">
        <f t="shared" si="4"/>
        <v>2266.8752870860494</v>
      </c>
      <c r="O18" s="3">
        <f t="shared" si="5"/>
        <v>225000</v>
      </c>
      <c r="P18" s="5">
        <f t="shared" si="6"/>
        <v>222733.12471291394</v>
      </c>
      <c r="R18" t="s">
        <v>16</v>
      </c>
      <c r="S18">
        <v>1.8508153999999999E-2</v>
      </c>
      <c r="T18">
        <v>1.1734583E-2</v>
      </c>
      <c r="U18">
        <v>1.6366851000000002E-2</v>
      </c>
      <c r="V18">
        <v>1.8889063000000001E-2</v>
      </c>
      <c r="W18">
        <v>1.4727825999999999E-2</v>
      </c>
      <c r="X18">
        <v>8.3743129999999995E-3</v>
      </c>
      <c r="Y18">
        <v>1.434768E-2</v>
      </c>
      <c r="Z18">
        <v>1.5050312E-2</v>
      </c>
      <c r="AA18">
        <v>1.6509431000000001E-2</v>
      </c>
      <c r="AB18">
        <v>1.2894783999999999E-2</v>
      </c>
      <c r="AC18">
        <v>3.0299209000000001E-2</v>
      </c>
      <c r="AD18">
        <v>1.4599045E-2</v>
      </c>
      <c r="AE18">
        <v>1.3540416E-2</v>
      </c>
      <c r="AF18">
        <v>1.4709656999999999E-2</v>
      </c>
      <c r="AG18">
        <v>9.7652720000000002E-3</v>
      </c>
      <c r="AH18">
        <v>6.4555020000000001E-3</v>
      </c>
      <c r="AI18">
        <v>4.6550679999999997E-2</v>
      </c>
      <c r="AJ18">
        <v>1.5074436E-2</v>
      </c>
      <c r="AK18">
        <v>1.4073456E-2</v>
      </c>
      <c r="AL18">
        <v>1.2044150999999999E-2</v>
      </c>
      <c r="AM18">
        <v>2.0018623999999999E-2</v>
      </c>
      <c r="AN18">
        <v>8.4874570000000003E-3</v>
      </c>
      <c r="AO18">
        <v>1.3274078E-2</v>
      </c>
      <c r="AP18">
        <v>2.2682687E-2</v>
      </c>
      <c r="AQ18">
        <v>1.8579155999999999E-2</v>
      </c>
      <c r="AS18">
        <v>0.04</v>
      </c>
      <c r="AT18">
        <v>17</v>
      </c>
    </row>
    <row r="19" spans="1:56" x14ac:dyDescent="0.2">
      <c r="A19">
        <v>4</v>
      </c>
      <c r="B19" t="s">
        <v>17</v>
      </c>
      <c r="C19">
        <v>62.41</v>
      </c>
      <c r="D19">
        <v>13844000</v>
      </c>
      <c r="E19" s="11">
        <v>0.18303005217723128</v>
      </c>
      <c r="F19">
        <v>25.74</v>
      </c>
      <c r="G19">
        <v>0.08</v>
      </c>
      <c r="H19" s="1">
        <f t="shared" si="0"/>
        <v>5.0000000000000001E-3</v>
      </c>
      <c r="I19" s="5">
        <f t="shared" si="1"/>
        <v>2500000</v>
      </c>
      <c r="J19" s="6">
        <f t="shared" si="2"/>
        <v>40057.683063611606</v>
      </c>
      <c r="K19" s="4">
        <f t="shared" si="2"/>
        <v>2.8935049887035256E-3</v>
      </c>
      <c r="L19" s="1">
        <f t="shared" si="3"/>
        <v>2.885156773187117E-3</v>
      </c>
      <c r="M19">
        <f t="shared" si="7"/>
        <v>1.4482143473753801</v>
      </c>
      <c r="N19" s="5">
        <f t="shared" si="4"/>
        <v>362.05358684384504</v>
      </c>
      <c r="O19" s="3">
        <f t="shared" si="5"/>
        <v>200000</v>
      </c>
      <c r="P19" s="5">
        <f>O19-N19</f>
        <v>199637.94641315617</v>
      </c>
      <c r="R19" t="s">
        <v>17</v>
      </c>
      <c r="S19">
        <v>1.4267887999999999E-2</v>
      </c>
      <c r="T19">
        <v>1.083219E-2</v>
      </c>
      <c r="U19">
        <v>1.4338780000000001E-2</v>
      </c>
      <c r="V19">
        <v>1.6081899E-2</v>
      </c>
      <c r="W19">
        <v>1.3914826999999999E-2</v>
      </c>
      <c r="X19">
        <v>8.4597860000000004E-3</v>
      </c>
      <c r="Y19">
        <v>1.4501042E-2</v>
      </c>
      <c r="Z19">
        <v>1.8300312999999999E-2</v>
      </c>
      <c r="AA19">
        <v>1.5031246999999999E-2</v>
      </c>
      <c r="AB19">
        <v>1.1635776E-2</v>
      </c>
      <c r="AC19">
        <v>1.6720395999999998E-2</v>
      </c>
      <c r="AD19">
        <v>1.225651E-2</v>
      </c>
      <c r="AE19">
        <v>1.2014726E-2</v>
      </c>
      <c r="AF19">
        <v>1.1812018000000001E-2</v>
      </c>
      <c r="AG19">
        <v>9.6899499999999993E-3</v>
      </c>
      <c r="AH19">
        <v>6.7679089999999999E-3</v>
      </c>
      <c r="AI19">
        <v>1.5074436E-2</v>
      </c>
      <c r="AJ19">
        <v>3.3584850999999999E-2</v>
      </c>
      <c r="AK19">
        <v>1.1799504000000001E-2</v>
      </c>
      <c r="AL19">
        <v>1.1111434999999999E-2</v>
      </c>
      <c r="AM19">
        <v>1.6211475999999999E-2</v>
      </c>
      <c r="AN19">
        <v>7.9022469999999994E-3</v>
      </c>
      <c r="AO19">
        <v>1.1098227E-2</v>
      </c>
      <c r="AP19">
        <v>1.4304641999999999E-2</v>
      </c>
      <c r="AQ19">
        <v>1.4276027E-2</v>
      </c>
      <c r="AS19">
        <v>0.04</v>
      </c>
      <c r="AT19">
        <v>18</v>
      </c>
    </row>
    <row r="20" spans="1:56" x14ac:dyDescent="0.2">
      <c r="A20">
        <v>4</v>
      </c>
      <c r="B20" t="s">
        <v>18</v>
      </c>
      <c r="C20">
        <v>95.52</v>
      </c>
      <c r="D20">
        <v>1635000</v>
      </c>
      <c r="E20" s="11">
        <v>0.18641351882307247</v>
      </c>
      <c r="F20">
        <v>24.21</v>
      </c>
      <c r="G20">
        <v>0.14000000000000001</v>
      </c>
      <c r="H20" s="1">
        <f t="shared" si="0"/>
        <v>6.72449512402577E-2</v>
      </c>
      <c r="I20" s="5">
        <f t="shared" si="1"/>
        <v>33622475.620128848</v>
      </c>
      <c r="J20" s="6">
        <f t="shared" si="2"/>
        <v>351994.09150051139</v>
      </c>
      <c r="K20" s="4">
        <f t="shared" si="2"/>
        <v>0.21528690611652074</v>
      </c>
      <c r="L20" s="1">
        <f t="shared" si="3"/>
        <v>0.17714903783870703</v>
      </c>
      <c r="M20">
        <f t="shared" si="7"/>
        <v>46.768988575116317</v>
      </c>
      <c r="N20" s="5">
        <f t="shared" si="4"/>
        <v>157248.9178144933</v>
      </c>
      <c r="O20" s="3">
        <f t="shared" si="5"/>
        <v>4707146.5868180394</v>
      </c>
      <c r="P20" s="5">
        <f t="shared" si="6"/>
        <v>4549897.6690035462</v>
      </c>
      <c r="R20" t="s">
        <v>18</v>
      </c>
      <c r="S20">
        <v>1.2694359000000001E-2</v>
      </c>
      <c r="T20">
        <v>9.3394289999999998E-3</v>
      </c>
      <c r="U20">
        <v>1.2672320000000001E-2</v>
      </c>
      <c r="V20">
        <v>1.4315746000000001E-2</v>
      </c>
      <c r="W20">
        <v>1.2137656E-2</v>
      </c>
      <c r="X20">
        <v>7.2692859999999998E-3</v>
      </c>
      <c r="Y20">
        <v>1.2614465E-2</v>
      </c>
      <c r="Z20">
        <v>1.5883161999999999E-2</v>
      </c>
      <c r="AA20">
        <v>1.3410089E-2</v>
      </c>
      <c r="AB20">
        <v>1.020601E-2</v>
      </c>
      <c r="AC20">
        <v>1.5732393000000001E-2</v>
      </c>
      <c r="AD20">
        <v>1.0954731000000001E-2</v>
      </c>
      <c r="AE20">
        <v>1.0567653E-2</v>
      </c>
      <c r="AF20">
        <v>1.0479732E-2</v>
      </c>
      <c r="AG20">
        <v>8.2771019999999997E-3</v>
      </c>
      <c r="AH20">
        <v>5.7350980000000001E-3</v>
      </c>
      <c r="AI20">
        <v>1.4073456E-2</v>
      </c>
      <c r="AJ20">
        <v>1.1799504000000001E-2</v>
      </c>
      <c r="AK20">
        <v>3.5015797000000001E-2</v>
      </c>
      <c r="AL20">
        <v>1.0014810000000001E-2</v>
      </c>
      <c r="AM20">
        <v>1.4444339E-2</v>
      </c>
      <c r="AN20">
        <v>6.7289020000000001E-3</v>
      </c>
      <c r="AO20">
        <v>9.6149249999999999E-3</v>
      </c>
      <c r="AP20">
        <v>1.3223132E-2</v>
      </c>
      <c r="AQ20">
        <v>1.2831832E-2</v>
      </c>
      <c r="AS20">
        <v>0.04</v>
      </c>
      <c r="AT20">
        <v>19</v>
      </c>
    </row>
    <row r="21" spans="1:56" x14ac:dyDescent="0.2">
      <c r="A21">
        <v>4</v>
      </c>
      <c r="B21" t="s">
        <v>19</v>
      </c>
      <c r="C21">
        <v>742.23</v>
      </c>
      <c r="D21">
        <v>463000</v>
      </c>
      <c r="E21" s="11">
        <v>0.26972207918522356</v>
      </c>
      <c r="F21">
        <v>23.61</v>
      </c>
      <c r="G21">
        <v>0.15</v>
      </c>
      <c r="H21" s="1">
        <f>T48</f>
        <v>3.9607885951915077E-2</v>
      </c>
      <c r="I21" s="5">
        <f t="shared" si="1"/>
        <v>19803942.975957539</v>
      </c>
      <c r="J21" s="6">
        <f t="shared" si="2"/>
        <v>26681.679500906106</v>
      </c>
      <c r="K21" s="4">
        <f t="shared" si="2"/>
        <v>5.7627817496557467E-2</v>
      </c>
      <c r="L21" s="1">
        <f t="shared" si="3"/>
        <v>5.4487804257044366E-2</v>
      </c>
      <c r="M21">
        <f t="shared" si="7"/>
        <v>17.122294965918172</v>
      </c>
      <c r="N21" s="5">
        <f t="shared" si="4"/>
        <v>33908.895312256827</v>
      </c>
      <c r="O21" s="3">
        <f t="shared" si="5"/>
        <v>2970591.4463936309</v>
      </c>
      <c r="P21" s="5">
        <f t="shared" si="6"/>
        <v>2936682.5510813743</v>
      </c>
      <c r="R21" t="s">
        <v>19</v>
      </c>
      <c r="S21">
        <v>1.0947798E-2</v>
      </c>
      <c r="T21">
        <v>8.1760359999999994E-3</v>
      </c>
      <c r="U21">
        <v>1.2705374E-2</v>
      </c>
      <c r="V21">
        <v>1.4592612E-2</v>
      </c>
      <c r="W21">
        <v>1.2159328E-2</v>
      </c>
      <c r="X21">
        <v>7.0373629999999996E-3</v>
      </c>
      <c r="Y21">
        <v>1.3467321000000001E-2</v>
      </c>
      <c r="Z21">
        <v>2.0053793E-2</v>
      </c>
      <c r="AA21">
        <v>1.5177207999999999E-2</v>
      </c>
      <c r="AB21">
        <v>1.0036688E-2</v>
      </c>
      <c r="AC21">
        <v>1.1049302E-2</v>
      </c>
      <c r="AD21">
        <v>1.1297681E-2</v>
      </c>
      <c r="AE21">
        <v>1.0378722E-2</v>
      </c>
      <c r="AF21">
        <v>9.4740680000000004E-3</v>
      </c>
      <c r="AG21">
        <v>7.4223680000000004E-3</v>
      </c>
      <c r="AH21">
        <v>5.1714609999999996E-3</v>
      </c>
      <c r="AI21">
        <v>1.2044150999999999E-2</v>
      </c>
      <c r="AJ21">
        <v>1.1111434999999999E-2</v>
      </c>
      <c r="AK21">
        <v>1.0014810000000001E-2</v>
      </c>
      <c r="AL21">
        <v>7.3253047000000002E-2</v>
      </c>
      <c r="AM21">
        <v>1.3747206999999999E-2</v>
      </c>
      <c r="AN21">
        <v>5.280791E-3</v>
      </c>
      <c r="AO21">
        <v>7.4083389999999999E-3</v>
      </c>
      <c r="AP21">
        <v>1.0900241999999999E-2</v>
      </c>
      <c r="AQ21">
        <v>1.2067761E-2</v>
      </c>
      <c r="AS21">
        <v>0.04</v>
      </c>
      <c r="AT21">
        <v>20</v>
      </c>
    </row>
    <row r="22" spans="1:56" x14ac:dyDescent="0.2">
      <c r="A22">
        <v>4</v>
      </c>
      <c r="B22" t="s">
        <v>20</v>
      </c>
      <c r="C22">
        <v>128.54</v>
      </c>
      <c r="D22">
        <v>1495000</v>
      </c>
      <c r="E22" s="11">
        <v>0.20615528128088303</v>
      </c>
      <c r="F22">
        <v>23.59</v>
      </c>
      <c r="G22">
        <v>0.1</v>
      </c>
      <c r="H22" s="1">
        <f t="shared" si="0"/>
        <v>5.0000000000000001E-3</v>
      </c>
      <c r="I22" s="5">
        <f t="shared" si="1"/>
        <v>2500000</v>
      </c>
      <c r="J22" s="6">
        <f t="shared" si="2"/>
        <v>19449.198693013848</v>
      </c>
      <c r="K22" s="4">
        <f t="shared" si="2"/>
        <v>1.3009497453520969E-2</v>
      </c>
      <c r="L22" s="1">
        <f t="shared" si="3"/>
        <v>1.2842423971565847E-2</v>
      </c>
      <c r="M22">
        <f t="shared" si="7"/>
        <v>4.1776434206384652</v>
      </c>
      <c r="N22" s="5">
        <f t="shared" si="4"/>
        <v>1044.4108551596164</v>
      </c>
      <c r="O22" s="3">
        <f t="shared" si="5"/>
        <v>250000</v>
      </c>
      <c r="P22" s="5">
        <f t="shared" si="6"/>
        <v>248955.58914484037</v>
      </c>
      <c r="R22" t="s">
        <v>20</v>
      </c>
      <c r="S22">
        <v>1.7665538000000001E-2</v>
      </c>
      <c r="T22">
        <v>1.2795332E-2</v>
      </c>
      <c r="U22">
        <v>1.7448405E-2</v>
      </c>
      <c r="V22">
        <v>1.9760361000000001E-2</v>
      </c>
      <c r="W22">
        <v>1.6608996000000001E-2</v>
      </c>
      <c r="X22">
        <v>9.892863E-3</v>
      </c>
      <c r="Y22">
        <v>1.7177246E-2</v>
      </c>
      <c r="Z22">
        <v>2.137505E-2</v>
      </c>
      <c r="AA22">
        <v>1.841775E-2</v>
      </c>
      <c r="AB22">
        <v>1.4016733999999999E-2</v>
      </c>
      <c r="AC22">
        <v>2.2632334E-2</v>
      </c>
      <c r="AD22">
        <v>1.5139929E-2</v>
      </c>
      <c r="AE22">
        <v>1.4533574E-2</v>
      </c>
      <c r="AF22">
        <v>1.4532249000000001E-2</v>
      </c>
      <c r="AG22">
        <v>1.1275228E-2</v>
      </c>
      <c r="AH22">
        <v>7.7794040000000002E-3</v>
      </c>
      <c r="AI22">
        <v>2.0018623999999999E-2</v>
      </c>
      <c r="AJ22">
        <v>1.6211475999999999E-2</v>
      </c>
      <c r="AK22">
        <v>1.4444339E-2</v>
      </c>
      <c r="AL22">
        <v>1.3747206999999999E-2</v>
      </c>
      <c r="AM22">
        <v>4.2639700000000003E-2</v>
      </c>
      <c r="AN22">
        <v>9.2077789999999993E-3</v>
      </c>
      <c r="AO22">
        <v>1.3278181E-2</v>
      </c>
      <c r="AP22">
        <v>1.8758911E-2</v>
      </c>
      <c r="AQ22">
        <v>1.7866788000000002E-2</v>
      </c>
      <c r="AS22">
        <v>0.04</v>
      </c>
      <c r="AT22">
        <v>21</v>
      </c>
    </row>
    <row r="23" spans="1:56" x14ac:dyDescent="0.2">
      <c r="A23">
        <v>4</v>
      </c>
      <c r="B23" t="s">
        <v>21</v>
      </c>
      <c r="C23">
        <v>33.97</v>
      </c>
      <c r="D23">
        <v>2609000</v>
      </c>
      <c r="E23" s="11">
        <v>0.16658331248957681</v>
      </c>
      <c r="F23">
        <v>23</v>
      </c>
      <c r="G23">
        <v>0.08</v>
      </c>
      <c r="H23" s="1">
        <f t="shared" si="0"/>
        <v>0.13619556040865291</v>
      </c>
      <c r="I23" s="5">
        <f t="shared" si="1"/>
        <v>68097780.204326451</v>
      </c>
      <c r="J23" s="6">
        <f t="shared" si="2"/>
        <v>2004644.6925029866</v>
      </c>
      <c r="K23" s="4">
        <f t="shared" si="2"/>
        <v>0.76835749041892931</v>
      </c>
      <c r="L23" s="1">
        <f t="shared" si="3"/>
        <v>0.43450348392897808</v>
      </c>
      <c r="M23">
        <f t="shared" si="7"/>
        <v>127.55226593798629</v>
      </c>
      <c r="N23" s="5">
        <f t="shared" si="4"/>
        <v>868602.61704087863</v>
      </c>
      <c r="O23" s="3">
        <f t="shared" si="5"/>
        <v>5447822.416346116</v>
      </c>
      <c r="P23" s="5">
        <f t="shared" si="6"/>
        <v>4579219.7993052378</v>
      </c>
      <c r="R23" t="s">
        <v>21</v>
      </c>
      <c r="S23">
        <v>8.4996010000000007E-3</v>
      </c>
      <c r="T23">
        <v>6.6481750000000001E-3</v>
      </c>
      <c r="U23">
        <v>8.0126929999999996E-3</v>
      </c>
      <c r="V23">
        <v>8.8200180000000006E-3</v>
      </c>
      <c r="W23">
        <v>7.913359E-3</v>
      </c>
      <c r="X23">
        <v>4.9855979999999999E-3</v>
      </c>
      <c r="Y23">
        <v>7.9968969999999993E-3</v>
      </c>
      <c r="Z23">
        <v>9.0834869999999995E-3</v>
      </c>
      <c r="AA23">
        <v>7.7125079999999999E-3</v>
      </c>
      <c r="AB23">
        <v>6.6329930000000002E-3</v>
      </c>
      <c r="AC23">
        <v>1.0128401E-2</v>
      </c>
      <c r="AD23">
        <v>6.6406089999999996E-3</v>
      </c>
      <c r="AE23">
        <v>6.8292259999999999E-3</v>
      </c>
      <c r="AF23">
        <v>6.9135780000000001E-3</v>
      </c>
      <c r="AG23">
        <v>5.949635E-3</v>
      </c>
      <c r="AH23">
        <v>4.1828660000000004E-3</v>
      </c>
      <c r="AI23">
        <v>8.4874570000000003E-3</v>
      </c>
      <c r="AJ23">
        <v>7.9022469999999994E-3</v>
      </c>
      <c r="AK23">
        <v>6.7289020000000001E-3</v>
      </c>
      <c r="AL23">
        <v>5.280791E-3</v>
      </c>
      <c r="AM23">
        <v>9.2077789999999993E-3</v>
      </c>
      <c r="AN23">
        <v>2.7936107000000002E-2</v>
      </c>
      <c r="AO23">
        <v>7.1134869999999999E-3</v>
      </c>
      <c r="AP23">
        <v>8.2977439999999993E-3</v>
      </c>
      <c r="AQ23">
        <v>8.0650670000000004E-3</v>
      </c>
      <c r="AS23">
        <v>0.04</v>
      </c>
      <c r="AT23">
        <v>22</v>
      </c>
    </row>
    <row r="24" spans="1:56" x14ac:dyDescent="0.2">
      <c r="A24">
        <v>4</v>
      </c>
      <c r="B24" t="s">
        <v>22</v>
      </c>
      <c r="C24">
        <v>19.09</v>
      </c>
      <c r="D24">
        <v>3888000</v>
      </c>
      <c r="E24" s="11">
        <v>0.18371173070873836</v>
      </c>
      <c r="F24">
        <v>22.72</v>
      </c>
      <c r="G24">
        <v>7.0000000000000007E-2</v>
      </c>
      <c r="H24" s="1">
        <f t="shared" si="0"/>
        <v>2.9514222970194365E-2</v>
      </c>
      <c r="I24" s="5">
        <f t="shared" si="1"/>
        <v>14757111.485097183</v>
      </c>
      <c r="J24" s="6">
        <f t="shared" si="2"/>
        <v>773028.36485579796</v>
      </c>
      <c r="K24" s="4">
        <f t="shared" si="2"/>
        <v>0.19882416791558591</v>
      </c>
      <c r="L24" s="1">
        <f t="shared" si="3"/>
        <v>0.16584931571848818</v>
      </c>
      <c r="M24">
        <f t="shared" si="7"/>
        <v>43.151101993798889</v>
      </c>
      <c r="N24" s="5">
        <f t="shared" si="4"/>
        <v>63678.562282728955</v>
      </c>
      <c r="O24" s="3">
        <f t="shared" si="5"/>
        <v>1032997.8039568029</v>
      </c>
      <c r="P24" s="5">
        <f t="shared" si="6"/>
        <v>969319.24167407397</v>
      </c>
      <c r="R24" t="s">
        <v>22</v>
      </c>
      <c r="S24">
        <v>1.2379060000000001E-2</v>
      </c>
      <c r="T24">
        <v>9.2613230000000001E-3</v>
      </c>
      <c r="U24">
        <v>1.1332904E-2</v>
      </c>
      <c r="V24">
        <v>1.2576311999999999E-2</v>
      </c>
      <c r="W24">
        <v>1.0984291E-2</v>
      </c>
      <c r="X24">
        <v>6.8147720000000002E-3</v>
      </c>
      <c r="Y24">
        <v>1.0933399E-2</v>
      </c>
      <c r="Z24">
        <v>1.1895149000000001E-2</v>
      </c>
      <c r="AA24">
        <v>1.0833048E-2</v>
      </c>
      <c r="AB24">
        <v>9.3072239999999994E-3</v>
      </c>
      <c r="AC24">
        <v>1.6230772000000001E-2</v>
      </c>
      <c r="AD24">
        <v>9.5093629999999998E-3</v>
      </c>
      <c r="AE24">
        <v>9.6226279999999994E-3</v>
      </c>
      <c r="AF24">
        <v>9.9745279999999999E-3</v>
      </c>
      <c r="AG24">
        <v>8.1609860000000003E-3</v>
      </c>
      <c r="AH24">
        <v>5.6738229999999997E-3</v>
      </c>
      <c r="AI24">
        <v>1.3274078E-2</v>
      </c>
      <c r="AJ24">
        <v>1.1098227E-2</v>
      </c>
      <c r="AK24">
        <v>9.6149249999999999E-3</v>
      </c>
      <c r="AL24">
        <v>7.4083389999999999E-3</v>
      </c>
      <c r="AM24">
        <v>1.3278181E-2</v>
      </c>
      <c r="AN24">
        <v>7.1134869999999999E-3</v>
      </c>
      <c r="AO24">
        <v>3.3945712000000003E-2</v>
      </c>
      <c r="AP24">
        <v>1.2823510999999999E-2</v>
      </c>
      <c r="AQ24">
        <v>1.1798995E-2</v>
      </c>
      <c r="AS24">
        <v>0.04</v>
      </c>
      <c r="AT24">
        <v>23</v>
      </c>
    </row>
    <row r="25" spans="1:56" x14ac:dyDescent="0.2">
      <c r="A25">
        <v>4</v>
      </c>
      <c r="B25" t="s">
        <v>23</v>
      </c>
      <c r="C25">
        <v>16.510000000000002</v>
      </c>
      <c r="D25">
        <v>2941000</v>
      </c>
      <c r="E25" s="11">
        <v>0.32365104665364514</v>
      </c>
      <c r="F25">
        <v>21.27</v>
      </c>
      <c r="G25">
        <v>0.14000000000000001</v>
      </c>
      <c r="H25" s="1">
        <f t="shared" si="0"/>
        <v>5.0000000000000001E-3</v>
      </c>
      <c r="I25" s="5">
        <f t="shared" si="1"/>
        <v>2500000</v>
      </c>
      <c r="J25" s="6">
        <f t="shared" si="2"/>
        <v>151423.37976983644</v>
      </c>
      <c r="K25" s="4">
        <f t="shared" si="2"/>
        <v>5.1487038344045034E-2</v>
      </c>
      <c r="L25" s="1">
        <f t="shared" si="3"/>
        <v>4.8965927744701827E-2</v>
      </c>
      <c r="M25">
        <f t="shared" si="7"/>
        <v>17.138914622835774</v>
      </c>
      <c r="N25" s="5">
        <f t="shared" si="4"/>
        <v>4284.7286557089437</v>
      </c>
      <c r="O25" s="3">
        <f t="shared" si="5"/>
        <v>350000.00000000006</v>
      </c>
      <c r="P25" s="5">
        <f t="shared" si="6"/>
        <v>345715.2713442911</v>
      </c>
      <c r="R25" t="s">
        <v>23</v>
      </c>
      <c r="S25">
        <v>1.7480347E-2</v>
      </c>
      <c r="T25">
        <v>1.1295690000000001E-2</v>
      </c>
      <c r="U25">
        <v>1.5340001000000001E-2</v>
      </c>
      <c r="V25">
        <v>1.7604024999999999E-2</v>
      </c>
      <c r="W25">
        <v>1.391967E-2</v>
      </c>
      <c r="X25">
        <v>8.0249989999999997E-3</v>
      </c>
      <c r="Y25">
        <v>1.3502448E-2</v>
      </c>
      <c r="Z25">
        <v>1.3863851999999999E-2</v>
      </c>
      <c r="AA25">
        <v>1.5194439000000001E-2</v>
      </c>
      <c r="AB25">
        <v>1.2162709000000001E-2</v>
      </c>
      <c r="AC25">
        <v>2.8228306000000002E-2</v>
      </c>
      <c r="AD25">
        <v>1.3560801000000001E-2</v>
      </c>
      <c r="AE25">
        <v>1.2750897000000001E-2</v>
      </c>
      <c r="AF25">
        <v>1.3870406E-2</v>
      </c>
      <c r="AG25">
        <v>9.4538650000000005E-3</v>
      </c>
      <c r="AH25">
        <v>6.2902610000000001E-3</v>
      </c>
      <c r="AI25">
        <v>2.2682687E-2</v>
      </c>
      <c r="AJ25">
        <v>1.4304641999999999E-2</v>
      </c>
      <c r="AK25">
        <v>1.3223132E-2</v>
      </c>
      <c r="AL25">
        <v>1.0900241999999999E-2</v>
      </c>
      <c r="AM25">
        <v>1.8758911E-2</v>
      </c>
      <c r="AN25">
        <v>8.2977439999999993E-3</v>
      </c>
      <c r="AO25">
        <v>1.2823510999999999E-2</v>
      </c>
      <c r="AP25">
        <v>0.105444634</v>
      </c>
      <c r="AQ25">
        <v>1.734629E-2</v>
      </c>
      <c r="AS25">
        <v>0.04</v>
      </c>
      <c r="AT25">
        <v>24</v>
      </c>
    </row>
    <row r="26" spans="1:56" x14ac:dyDescent="0.2">
      <c r="A26">
        <v>4</v>
      </c>
      <c r="B26" t="s">
        <v>24</v>
      </c>
      <c r="C26">
        <v>80.900000000000006</v>
      </c>
      <c r="D26">
        <v>2915000</v>
      </c>
      <c r="E26" s="11">
        <v>0.19429359227725448</v>
      </c>
      <c r="F26">
        <v>24.48</v>
      </c>
      <c r="G26">
        <v>0.14000000000000001</v>
      </c>
      <c r="H26" s="1">
        <f t="shared" si="0"/>
        <v>5.0000000000000001E-3</v>
      </c>
      <c r="I26" s="5">
        <f t="shared" si="1"/>
        <v>2500000</v>
      </c>
      <c r="J26" s="6">
        <f t="shared" si="2"/>
        <v>30902.348578491965</v>
      </c>
      <c r="K26" s="4">
        <f t="shared" si="2"/>
        <v>1.0601148740477517E-2</v>
      </c>
      <c r="L26" s="1">
        <f t="shared" si="3"/>
        <v>1.0489943291366566E-2</v>
      </c>
      <c r="M26">
        <f t="shared" si="7"/>
        <v>3.4664489279700641</v>
      </c>
      <c r="N26" s="5">
        <f t="shared" si="4"/>
        <v>866.61223199251606</v>
      </c>
      <c r="O26" s="3">
        <f>G26*I26</f>
        <v>350000.00000000006</v>
      </c>
      <c r="P26" s="5">
        <f t="shared" si="6"/>
        <v>349133.38776800752</v>
      </c>
      <c r="R26" t="s">
        <v>24</v>
      </c>
      <c r="S26">
        <v>1.5873594000000001E-2</v>
      </c>
      <c r="T26">
        <v>1.1222357000000001E-2</v>
      </c>
      <c r="U26">
        <v>1.5411647000000001E-2</v>
      </c>
      <c r="V26">
        <v>1.7519578000000001E-2</v>
      </c>
      <c r="W26">
        <v>1.4528236999999999E-2</v>
      </c>
      <c r="X26">
        <v>8.5800809999999998E-3</v>
      </c>
      <c r="Y26">
        <v>1.4902575E-2</v>
      </c>
      <c r="Z26">
        <v>1.8169238000000001E-2</v>
      </c>
      <c r="AA26">
        <v>1.6191100999999999E-2</v>
      </c>
      <c r="AB26">
        <v>1.2332696000000001E-2</v>
      </c>
      <c r="AC26">
        <v>2.1360833999999999E-2</v>
      </c>
      <c r="AD26">
        <v>1.3448009E-2</v>
      </c>
      <c r="AE26">
        <v>1.281536E-2</v>
      </c>
      <c r="AF26">
        <v>1.2984974E-2</v>
      </c>
      <c r="AG26">
        <v>9.7984189999999992E-3</v>
      </c>
      <c r="AH26">
        <v>6.7143009999999998E-3</v>
      </c>
      <c r="AI26">
        <v>1.8579155999999999E-2</v>
      </c>
      <c r="AJ26">
        <v>1.4276027E-2</v>
      </c>
      <c r="AK26">
        <v>1.2831832E-2</v>
      </c>
      <c r="AL26">
        <v>1.2067761E-2</v>
      </c>
      <c r="AM26">
        <v>1.7866788000000002E-2</v>
      </c>
      <c r="AN26">
        <v>8.0650670000000004E-3</v>
      </c>
      <c r="AO26">
        <v>1.1798995E-2</v>
      </c>
      <c r="AP26">
        <v>1.734629E-2</v>
      </c>
      <c r="AQ26">
        <v>3.8025820000000002E-2</v>
      </c>
      <c r="AS26">
        <v>0.04</v>
      </c>
      <c r="AT26">
        <v>25</v>
      </c>
    </row>
    <row r="27" spans="1:56" x14ac:dyDescent="0.2">
      <c r="A27" t="s">
        <v>58</v>
      </c>
      <c r="C27">
        <f>SUM(C2:C26)</f>
        <v>2426.0100000000002</v>
      </c>
      <c r="D27">
        <f t="shared" ref="D27:G27" si="8">SUM(D2:D26)</f>
        <v>87705000</v>
      </c>
      <c r="E27" s="11">
        <f t="shared" si="8"/>
        <v>5.3882867844687157</v>
      </c>
      <c r="F27">
        <f t="shared" si="8"/>
        <v>591.57999999999993</v>
      </c>
      <c r="G27">
        <f t="shared" si="8"/>
        <v>2.9200000000000008</v>
      </c>
      <c r="H27" s="1">
        <f>SUM(H2:H26)</f>
        <v>1</v>
      </c>
      <c r="I27" s="5">
        <f t="shared" si="1"/>
        <v>500000000</v>
      </c>
      <c r="J27" s="6">
        <f t="shared" ref="J27:N27" si="9">SUM(J2:J26)</f>
        <v>7813773.812293645</v>
      </c>
      <c r="K27" s="8">
        <f t="shared" si="9"/>
        <v>3.8259251065244433</v>
      </c>
      <c r="L27" s="1">
        <f t="shared" si="9"/>
        <v>2.6136788110056615</v>
      </c>
      <c r="M27">
        <f t="shared" si="9"/>
        <v>723.96873809764634</v>
      </c>
      <c r="N27" s="5">
        <f t="shared" si="9"/>
        <v>3963948.3568371078</v>
      </c>
      <c r="O27" s="3">
        <f>SUM(O2:O26)</f>
        <v>50000128.177705809</v>
      </c>
      <c r="P27" s="5">
        <f>SUM(P2:P26)</f>
        <v>46036179.820868693</v>
      </c>
    </row>
    <row r="28" spans="1:56" x14ac:dyDescent="0.2">
      <c r="O28" s="1">
        <f>O27/I27</f>
        <v>0.10000025635541161</v>
      </c>
      <c r="P28" s="1">
        <f>P27/I27</f>
        <v>9.2072359641737392E-2</v>
      </c>
      <c r="T28" t="s">
        <v>25</v>
      </c>
      <c r="U28" t="s">
        <v>26</v>
      </c>
      <c r="V28" t="s">
        <v>27</v>
      </c>
      <c r="AF28">
        <v>1</v>
      </c>
      <c r="AG28">
        <v>2</v>
      </c>
      <c r="AH28">
        <v>3</v>
      </c>
      <c r="AI28">
        <v>4</v>
      </c>
      <c r="AJ28">
        <v>5</v>
      </c>
      <c r="AK28">
        <v>6</v>
      </c>
      <c r="AL28">
        <v>7</v>
      </c>
      <c r="AM28">
        <v>8</v>
      </c>
      <c r="AN28">
        <v>9</v>
      </c>
      <c r="AO28">
        <v>10</v>
      </c>
      <c r="AP28">
        <v>11</v>
      </c>
      <c r="AQ28">
        <v>12</v>
      </c>
      <c r="AR28">
        <v>13</v>
      </c>
      <c r="AS28">
        <v>14</v>
      </c>
      <c r="AT28">
        <v>15</v>
      </c>
      <c r="AU28">
        <v>16</v>
      </c>
      <c r="AV28">
        <v>17</v>
      </c>
      <c r="AW28">
        <v>18</v>
      </c>
      <c r="AX28">
        <v>19</v>
      </c>
      <c r="AY28">
        <v>20</v>
      </c>
      <c r="AZ28">
        <v>21</v>
      </c>
      <c r="BA28">
        <v>22</v>
      </c>
      <c r="BB28">
        <v>23</v>
      </c>
      <c r="BC28">
        <v>24</v>
      </c>
      <c r="BD28">
        <v>25</v>
      </c>
    </row>
    <row r="29" spans="1:56" x14ac:dyDescent="0.2">
      <c r="A29" t="s">
        <v>41</v>
      </c>
      <c r="B29" s="3">
        <v>500000000</v>
      </c>
      <c r="D29" t="s">
        <v>36</v>
      </c>
      <c r="E29" s="12">
        <v>706.28378945135796</v>
      </c>
      <c r="N29" t="s">
        <v>60</v>
      </c>
      <c r="O29" s="1">
        <f>P28-O28</f>
        <v>-7.9278967136742207E-3</v>
      </c>
      <c r="S29">
        <v>1</v>
      </c>
      <c r="T29" s="1">
        <v>5.0000000000000001E-3</v>
      </c>
      <c r="U29" s="1">
        <v>5.0000000000000001E-3</v>
      </c>
      <c r="V29" s="2">
        <v>0.25</v>
      </c>
      <c r="Y29" t="s">
        <v>28</v>
      </c>
      <c r="Z29" s="11">
        <f>AA29^2</f>
        <v>8.2985511289468411E-5</v>
      </c>
      <c r="AA29" s="11">
        <f>MMULT(AF29:BD29,MMULT(S2:AQ26,T29:T53))</f>
        <v>9.1096383731445896E-3</v>
      </c>
      <c r="AB29" t="s">
        <v>29</v>
      </c>
      <c r="AC29">
        <v>0.14000000000000001</v>
      </c>
      <c r="AE29" t="s">
        <v>30</v>
      </c>
      <c r="AF29">
        <f>T29</f>
        <v>5.0000000000000001E-3</v>
      </c>
      <c r="AG29">
        <f>T30</f>
        <v>4.2661616647169602E-2</v>
      </c>
      <c r="AH29">
        <f>T31</f>
        <v>5.0000000000000001E-3</v>
      </c>
      <c r="AI29">
        <f>T32</f>
        <v>5.0000000000000001E-3</v>
      </c>
      <c r="AJ29">
        <f>T33</f>
        <v>5.0000000000000001E-3</v>
      </c>
      <c r="AK29">
        <f>T34</f>
        <v>0.11795776891967774</v>
      </c>
      <c r="AL29">
        <f>T35</f>
        <v>5.0000000000000001E-3</v>
      </c>
      <c r="AM29">
        <f>T36</f>
        <v>5.0000000000000001E-3</v>
      </c>
      <c r="AN29">
        <f>T37</f>
        <v>5.0000000000000001E-3</v>
      </c>
      <c r="AO29">
        <f>T38</f>
        <v>2.663880315491433E-2</v>
      </c>
      <c r="AP29">
        <f>T39</f>
        <v>5.0000000000000001E-3</v>
      </c>
      <c r="AQ29">
        <f>T40</f>
        <v>4.5241729382542305E-2</v>
      </c>
      <c r="AR29">
        <f>T41</f>
        <v>3.1812448245827789E-2</v>
      </c>
      <c r="AS29">
        <f>T42</f>
        <v>1.2505278581507467E-2</v>
      </c>
      <c r="AT29">
        <f>T43</f>
        <v>0.13561973449734074</v>
      </c>
      <c r="AU29">
        <f>T44</f>
        <v>0.25</v>
      </c>
      <c r="AV29">
        <f>T45</f>
        <v>5.0000000000000001E-3</v>
      </c>
      <c r="AW29">
        <f>T46</f>
        <v>5.0000000000000001E-3</v>
      </c>
      <c r="AX29">
        <f>T47</f>
        <v>6.72449512402577E-2</v>
      </c>
      <c r="AY29">
        <f>T48</f>
        <v>3.9607885951915077E-2</v>
      </c>
      <c r="AZ29">
        <f>T49</f>
        <v>5.0000000000000001E-3</v>
      </c>
      <c r="BA29">
        <f>T50</f>
        <v>0.13619556040865291</v>
      </c>
      <c r="BB29">
        <f>T51</f>
        <v>2.9514222970194365E-2</v>
      </c>
      <c r="BC29">
        <f>T52</f>
        <v>5.0000000000000001E-3</v>
      </c>
      <c r="BD29">
        <f>T53</f>
        <v>5.0000000000000001E-3</v>
      </c>
    </row>
    <row r="30" spans="1:56" x14ac:dyDescent="0.2">
      <c r="B30" s="1"/>
      <c r="D30" t="s">
        <v>37</v>
      </c>
      <c r="E30" s="12">
        <v>0.34305784856765498</v>
      </c>
      <c r="S30">
        <v>2</v>
      </c>
      <c r="T30" s="1">
        <v>4.2661616647169602E-2</v>
      </c>
      <c r="U30" s="1">
        <v>5.0000000000000001E-3</v>
      </c>
      <c r="V30" s="2">
        <v>0.25</v>
      </c>
      <c r="Y30" t="s">
        <v>31</v>
      </c>
      <c r="Z30" s="11">
        <f>SQRT(AA29)</f>
        <v>9.5444425573967331E-2</v>
      </c>
      <c r="AA30" s="11"/>
      <c r="AC30">
        <v>0.1</v>
      </c>
    </row>
    <row r="31" spans="1:56" x14ac:dyDescent="0.2">
      <c r="D31" t="s">
        <v>38</v>
      </c>
      <c r="E31" s="12">
        <v>0.56587621757055095</v>
      </c>
      <c r="S31">
        <v>3</v>
      </c>
      <c r="T31" s="1">
        <v>5.0000000000000001E-3</v>
      </c>
      <c r="U31" s="1">
        <v>5.0000000000000001E-3</v>
      </c>
      <c r="V31" s="2">
        <v>0.25</v>
      </c>
      <c r="Y31" t="s">
        <v>32</v>
      </c>
      <c r="Z31" s="11">
        <f>SUMPRODUCT(T29:T53,AC29:AC53)</f>
        <v>0.10000025635541163</v>
      </c>
      <c r="AA31" s="11"/>
      <c r="AC31">
        <v>0.14000000000000001</v>
      </c>
    </row>
    <row r="32" spans="1:56" x14ac:dyDescent="0.2">
      <c r="B32" s="1"/>
      <c r="D32" t="s">
        <v>39</v>
      </c>
      <c r="E32" s="12">
        <v>0.75754853087902696</v>
      </c>
      <c r="S32">
        <v>4</v>
      </c>
      <c r="T32" s="1">
        <v>5.0000000000000001E-3</v>
      </c>
      <c r="U32" s="1">
        <v>5.0000000000000001E-3</v>
      </c>
      <c r="V32" s="2">
        <v>0.25</v>
      </c>
      <c r="Y32" t="s">
        <v>66</v>
      </c>
      <c r="Z32" s="11">
        <f>P28</f>
        <v>9.2072359641737392E-2</v>
      </c>
      <c r="AA32" s="11"/>
      <c r="AC32">
        <v>0.12</v>
      </c>
    </row>
    <row r="33" spans="4:29" x14ac:dyDescent="0.2">
      <c r="D33" t="s">
        <v>40</v>
      </c>
      <c r="E33" s="12">
        <v>0.97175923281984999</v>
      </c>
      <c r="S33">
        <v>5</v>
      </c>
      <c r="T33" s="1">
        <v>5.0000000000000001E-3</v>
      </c>
      <c r="U33" s="1">
        <v>5.0000000000000001E-3</v>
      </c>
      <c r="V33" s="2">
        <v>0.25</v>
      </c>
      <c r="Y33" t="s">
        <v>72</v>
      </c>
      <c r="Z33">
        <f>M27</f>
        <v>723.96873809764634</v>
      </c>
      <c r="AA33" s="11"/>
      <c r="AC33">
        <v>0.1</v>
      </c>
    </row>
    <row r="34" spans="4:29" x14ac:dyDescent="0.2">
      <c r="S34">
        <v>6</v>
      </c>
      <c r="T34" s="1">
        <v>0.11795776891967774</v>
      </c>
      <c r="U34" s="1">
        <v>5.0000000000000001E-3</v>
      </c>
      <c r="V34" s="2">
        <v>0.25</v>
      </c>
      <c r="AC34">
        <v>0.08</v>
      </c>
    </row>
    <row r="35" spans="4:29" x14ac:dyDescent="0.2">
      <c r="S35">
        <v>7</v>
      </c>
      <c r="T35" s="1">
        <v>5.0000000000000001E-3</v>
      </c>
      <c r="U35" s="1">
        <v>5.0000000000000001E-3</v>
      </c>
      <c r="V35" s="2">
        <v>0.25</v>
      </c>
      <c r="Y35" t="s">
        <v>33</v>
      </c>
      <c r="Z35">
        <v>1</v>
      </c>
      <c r="AC35">
        <v>0.09</v>
      </c>
    </row>
    <row r="36" spans="4:29" x14ac:dyDescent="0.2">
      <c r="S36">
        <v>8</v>
      </c>
      <c r="T36" s="1">
        <v>5.0000000000000001E-3</v>
      </c>
      <c r="U36" s="1">
        <v>5.0000000000000001E-3</v>
      </c>
      <c r="V36" s="2">
        <v>0.25</v>
      </c>
      <c r="Y36" t="s">
        <v>34</v>
      </c>
      <c r="Z36">
        <v>0</v>
      </c>
      <c r="AC36">
        <v>0.17</v>
      </c>
    </row>
    <row r="37" spans="4:29" x14ac:dyDescent="0.2">
      <c r="S37">
        <v>9</v>
      </c>
      <c r="T37" s="1">
        <v>5.0000000000000001E-3</v>
      </c>
      <c r="U37" s="1">
        <v>5.0000000000000001E-3</v>
      </c>
      <c r="V37" s="2">
        <v>0.25</v>
      </c>
      <c r="AC37">
        <v>0.14000000000000001</v>
      </c>
    </row>
    <row r="38" spans="4:29" x14ac:dyDescent="0.2">
      <c r="S38">
        <v>10</v>
      </c>
      <c r="T38" s="1">
        <v>2.663880315491433E-2</v>
      </c>
      <c r="U38" s="1">
        <v>5.0000000000000001E-3</v>
      </c>
      <c r="V38" s="2">
        <v>0.25</v>
      </c>
      <c r="AC38">
        <v>0.12</v>
      </c>
    </row>
    <row r="39" spans="4:29" x14ac:dyDescent="0.2">
      <c r="S39">
        <v>11</v>
      </c>
      <c r="T39" s="1">
        <v>5.0000000000000001E-3</v>
      </c>
      <c r="U39" s="1">
        <v>5.0000000000000001E-3</v>
      </c>
      <c r="V39" s="2">
        <v>0.25</v>
      </c>
      <c r="AC39">
        <v>0.21</v>
      </c>
    </row>
    <row r="40" spans="4:29" x14ac:dyDescent="0.2">
      <c r="S40">
        <v>12</v>
      </c>
      <c r="T40" s="1">
        <v>4.5241729382542305E-2</v>
      </c>
      <c r="U40" s="1">
        <v>5.0000000000000001E-3</v>
      </c>
      <c r="V40" s="2">
        <v>0.25</v>
      </c>
      <c r="AC40">
        <v>0.15</v>
      </c>
    </row>
    <row r="41" spans="4:29" x14ac:dyDescent="0.2">
      <c r="S41">
        <v>13</v>
      </c>
      <c r="T41" s="1">
        <v>3.1812448245827789E-2</v>
      </c>
      <c r="U41" s="1">
        <v>5.0000000000000001E-3</v>
      </c>
      <c r="V41" s="2">
        <v>0.25</v>
      </c>
      <c r="AC41">
        <v>0.14000000000000001</v>
      </c>
    </row>
    <row r="42" spans="4:29" x14ac:dyDescent="0.2">
      <c r="S42">
        <v>14</v>
      </c>
      <c r="T42" s="1">
        <v>1.2505278581507467E-2</v>
      </c>
      <c r="U42" s="1">
        <v>5.0000000000000001E-3</v>
      </c>
      <c r="V42" s="2">
        <v>0.25</v>
      </c>
      <c r="AC42">
        <v>0.06</v>
      </c>
    </row>
    <row r="43" spans="4:29" x14ac:dyDescent="0.2">
      <c r="S43">
        <v>15</v>
      </c>
      <c r="T43" s="1">
        <v>0.13561973449734074</v>
      </c>
      <c r="U43" s="1">
        <v>5.0000000000000001E-3</v>
      </c>
      <c r="V43" s="2">
        <v>0.25</v>
      </c>
      <c r="AC43">
        <v>7.0000000000000007E-2</v>
      </c>
    </row>
    <row r="44" spans="4:29" x14ac:dyDescent="0.2">
      <c r="S44">
        <v>16</v>
      </c>
      <c r="T44" s="1">
        <v>0.25</v>
      </c>
      <c r="U44" s="1">
        <v>5.0000000000000001E-3</v>
      </c>
      <c r="V44" s="2">
        <v>0.25</v>
      </c>
      <c r="AC44">
        <v>0.1</v>
      </c>
    </row>
    <row r="45" spans="4:29" x14ac:dyDescent="0.2">
      <c r="S45">
        <v>17</v>
      </c>
      <c r="T45" s="1">
        <v>5.0000000000000001E-3</v>
      </c>
      <c r="U45" s="1">
        <v>5.0000000000000001E-3</v>
      </c>
      <c r="V45" s="2">
        <v>0.25</v>
      </c>
      <c r="AC45">
        <v>0.09</v>
      </c>
    </row>
    <row r="46" spans="4:29" x14ac:dyDescent="0.2">
      <c r="S46">
        <v>18</v>
      </c>
      <c r="T46" s="1">
        <v>5.0000000000000001E-3</v>
      </c>
      <c r="U46" s="1">
        <v>5.0000000000000001E-3</v>
      </c>
      <c r="V46" s="2">
        <v>0.25</v>
      </c>
      <c r="AC46">
        <v>0.08</v>
      </c>
    </row>
    <row r="47" spans="4:29" x14ac:dyDescent="0.2">
      <c r="S47">
        <v>19</v>
      </c>
      <c r="T47" s="1">
        <v>6.72449512402577E-2</v>
      </c>
      <c r="U47" s="1">
        <v>5.0000000000000001E-3</v>
      </c>
      <c r="V47" s="2">
        <v>0.25</v>
      </c>
      <c r="AC47">
        <v>0.14000000000000001</v>
      </c>
    </row>
    <row r="48" spans="4:29" x14ac:dyDescent="0.2">
      <c r="S48">
        <v>20</v>
      </c>
      <c r="T48" s="1">
        <v>3.9607885951915077E-2</v>
      </c>
      <c r="U48" s="1">
        <v>5.0000000000000001E-3</v>
      </c>
      <c r="V48" s="2">
        <v>0.25</v>
      </c>
      <c r="AC48">
        <v>0.15</v>
      </c>
    </row>
    <row r="49" spans="19:29" x14ac:dyDescent="0.2">
      <c r="S49">
        <v>21</v>
      </c>
      <c r="T49" s="1">
        <v>5.0000000000000001E-3</v>
      </c>
      <c r="U49" s="1">
        <v>5.0000000000000001E-3</v>
      </c>
      <c r="V49" s="2">
        <v>0.25</v>
      </c>
      <c r="AC49">
        <v>0.1</v>
      </c>
    </row>
    <row r="50" spans="19:29" x14ac:dyDescent="0.2">
      <c r="S50">
        <v>22</v>
      </c>
      <c r="T50" s="1">
        <v>0.13619556040865291</v>
      </c>
      <c r="U50" s="1">
        <v>5.0000000000000001E-3</v>
      </c>
      <c r="V50" s="2">
        <v>0.25</v>
      </c>
      <c r="AC50">
        <v>0.08</v>
      </c>
    </row>
    <row r="51" spans="19:29" x14ac:dyDescent="0.2">
      <c r="S51">
        <v>23</v>
      </c>
      <c r="T51" s="1">
        <v>2.9514222970194365E-2</v>
      </c>
      <c r="U51" s="1">
        <v>5.0000000000000001E-3</v>
      </c>
      <c r="V51" s="2">
        <v>0.25</v>
      </c>
      <c r="AC51">
        <v>7.0000000000000007E-2</v>
      </c>
    </row>
    <row r="52" spans="19:29" x14ac:dyDescent="0.2">
      <c r="S52">
        <v>24</v>
      </c>
      <c r="T52" s="1">
        <v>5.0000000000000001E-3</v>
      </c>
      <c r="U52" s="1">
        <v>5.0000000000000001E-3</v>
      </c>
      <c r="V52" s="2">
        <v>0.25</v>
      </c>
      <c r="AC52">
        <v>0.14000000000000001</v>
      </c>
    </row>
    <row r="53" spans="19:29" x14ac:dyDescent="0.2">
      <c r="S53">
        <v>25</v>
      </c>
      <c r="T53" s="1">
        <v>5.0000000000000001E-3</v>
      </c>
      <c r="U53" s="1">
        <v>5.0000000000000001E-3</v>
      </c>
      <c r="V53" s="2">
        <v>0.25</v>
      </c>
      <c r="AC53">
        <v>0.14000000000000001</v>
      </c>
    </row>
    <row r="54" spans="19:29" x14ac:dyDescent="0.2">
      <c r="S54" t="s">
        <v>35</v>
      </c>
      <c r="T54">
        <f>SUM(T29:T53)</f>
        <v>1</v>
      </c>
      <c r="U54">
        <v>1</v>
      </c>
    </row>
  </sheetData>
  <phoneticPr fontId="1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D54"/>
  <sheetViews>
    <sheetView topLeftCell="L26" workbookViewId="0">
      <selection activeCell="Z30" sqref="Z30:Z33"/>
    </sheetView>
  </sheetViews>
  <sheetFormatPr defaultRowHeight="14.25" x14ac:dyDescent="0.2"/>
  <cols>
    <col min="2" max="2" width="13" customWidth="1"/>
    <col min="5" max="5" width="21.5" customWidth="1"/>
    <col min="9" max="9" width="16.25" customWidth="1"/>
    <col min="10" max="10" width="10.25" customWidth="1"/>
    <col min="14" max="14" width="15.5" customWidth="1"/>
    <col min="15" max="15" width="11.875" customWidth="1"/>
    <col min="16" max="16" width="14.625" customWidth="1"/>
    <col min="26" max="26" width="14.25" bestFit="1" customWidth="1"/>
  </cols>
  <sheetData>
    <row r="1" spans="1:46" x14ac:dyDescent="0.2">
      <c r="A1" s="7" t="s">
        <v>43</v>
      </c>
      <c r="B1" s="7" t="s">
        <v>44</v>
      </c>
      <c r="C1" s="7" t="s">
        <v>45</v>
      </c>
      <c r="D1" s="7" t="s">
        <v>46</v>
      </c>
      <c r="E1" s="7" t="s">
        <v>47</v>
      </c>
      <c r="F1" s="7" t="s">
        <v>48</v>
      </c>
      <c r="G1" s="7" t="s">
        <v>49</v>
      </c>
      <c r="H1" s="7" t="s">
        <v>57</v>
      </c>
      <c r="I1" s="7" t="s">
        <v>56</v>
      </c>
      <c r="J1" s="7" t="s">
        <v>55</v>
      </c>
      <c r="K1" s="7" t="s">
        <v>50</v>
      </c>
      <c r="L1" s="7" t="s">
        <v>42</v>
      </c>
      <c r="M1" s="7" t="s">
        <v>51</v>
      </c>
      <c r="N1" s="7" t="s">
        <v>52</v>
      </c>
      <c r="O1" s="7" t="s">
        <v>53</v>
      </c>
      <c r="P1" s="7" t="s">
        <v>54</v>
      </c>
      <c r="Q1" s="7"/>
      <c r="S1" t="s">
        <v>0</v>
      </c>
      <c r="T1" t="s">
        <v>1</v>
      </c>
      <c r="U1" t="s">
        <v>2</v>
      </c>
      <c r="V1" t="s">
        <v>3</v>
      </c>
      <c r="W1" t="s">
        <v>4</v>
      </c>
      <c r="X1" t="s">
        <v>5</v>
      </c>
      <c r="Y1" t="s">
        <v>6</v>
      </c>
      <c r="Z1" t="s">
        <v>7</v>
      </c>
      <c r="AA1" t="s">
        <v>8</v>
      </c>
      <c r="AB1" t="s">
        <v>9</v>
      </c>
      <c r="AC1" t="s">
        <v>10</v>
      </c>
      <c r="AD1" t="s">
        <v>11</v>
      </c>
      <c r="AE1" t="s">
        <v>12</v>
      </c>
      <c r="AF1" t="s">
        <v>13</v>
      </c>
      <c r="AG1" t="s">
        <v>14</v>
      </c>
      <c r="AH1" t="s">
        <v>15</v>
      </c>
      <c r="AI1" t="s">
        <v>16</v>
      </c>
      <c r="AJ1" t="s">
        <v>17</v>
      </c>
      <c r="AK1" t="s">
        <v>18</v>
      </c>
      <c r="AL1" t="s">
        <v>19</v>
      </c>
      <c r="AM1" t="s">
        <v>20</v>
      </c>
      <c r="AN1" t="s">
        <v>21</v>
      </c>
      <c r="AO1" t="s">
        <v>22</v>
      </c>
      <c r="AP1" t="s">
        <v>23</v>
      </c>
      <c r="AQ1" t="s">
        <v>24</v>
      </c>
    </row>
    <row r="2" spans="1:46" x14ac:dyDescent="0.2">
      <c r="A2">
        <v>4</v>
      </c>
      <c r="B2" t="s">
        <v>0</v>
      </c>
      <c r="C2">
        <v>78.63</v>
      </c>
      <c r="D2">
        <v>5224000</v>
      </c>
      <c r="E2" s="11">
        <v>0.20124611797498107</v>
      </c>
      <c r="F2">
        <v>24.49</v>
      </c>
      <c r="G2" s="10">
        <v>0.14000000000000001</v>
      </c>
      <c r="H2" s="1">
        <f>T29</f>
        <v>5.0000000000000001E-3</v>
      </c>
      <c r="I2" s="5">
        <f>ABS(H2*$B$29)</f>
        <v>500000</v>
      </c>
      <c r="J2" s="6">
        <f>I2/C2</f>
        <v>6358.8960956377978</v>
      </c>
      <c r="K2" s="4">
        <f>J2/D2</f>
        <v>1.2172465726718602E-3</v>
      </c>
      <c r="L2" s="1">
        <f>K2/(1+K2)</f>
        <v>1.2157666848415681E-3</v>
      </c>
      <c r="M2">
        <f>$E$29*(K2^$E$30)*(E2^$E$31)*($E$33*(L2^$E$32)+(1-$E$33))</f>
        <v>0.97682629685916889</v>
      </c>
      <c r="N2" s="5">
        <f>M2/10000*I2</f>
        <v>48.84131484295844</v>
      </c>
      <c r="O2" s="3">
        <f>G2*I2</f>
        <v>70000</v>
      </c>
      <c r="P2" s="5">
        <f>O2-N2</f>
        <v>69951.158685157046</v>
      </c>
      <c r="R2" t="s">
        <v>0</v>
      </c>
      <c r="S2">
        <v>4.0836718000000001E-2</v>
      </c>
      <c r="T2">
        <v>1.1484558000000001E-2</v>
      </c>
      <c r="U2">
        <v>1.5073507999999999E-2</v>
      </c>
      <c r="V2">
        <v>1.7006291E-2</v>
      </c>
      <c r="W2">
        <v>1.4288515999999999E-2</v>
      </c>
      <c r="X2">
        <v>8.5739309999999999E-3</v>
      </c>
      <c r="Y2">
        <v>1.4396213E-2</v>
      </c>
      <c r="Z2">
        <v>1.6525015000000001E-2</v>
      </c>
      <c r="AA2">
        <v>1.5196238000000001E-2</v>
      </c>
      <c r="AB2">
        <v>1.2164378E-2</v>
      </c>
      <c r="AC2">
        <v>2.2022389E-2</v>
      </c>
      <c r="AD2">
        <v>1.2989624999999999E-2</v>
      </c>
      <c r="AE2">
        <v>1.2630687E-2</v>
      </c>
      <c r="AF2">
        <v>1.3026874000000001E-2</v>
      </c>
      <c r="AG2">
        <v>1.0012559000000001E-2</v>
      </c>
      <c r="AH2">
        <v>6.8772659999999999E-3</v>
      </c>
      <c r="AI2">
        <v>1.8508153999999999E-2</v>
      </c>
      <c r="AJ2">
        <v>1.4267887999999999E-2</v>
      </c>
      <c r="AK2">
        <v>1.2694359000000001E-2</v>
      </c>
      <c r="AL2">
        <v>1.0947798E-2</v>
      </c>
      <c r="AM2">
        <v>1.7665538000000001E-2</v>
      </c>
      <c r="AN2">
        <v>8.4996010000000007E-3</v>
      </c>
      <c r="AO2">
        <v>1.2379060000000001E-2</v>
      </c>
      <c r="AP2">
        <v>1.7480347E-2</v>
      </c>
      <c r="AQ2">
        <v>1.5873594000000001E-2</v>
      </c>
      <c r="AS2">
        <v>0.04</v>
      </c>
      <c r="AT2">
        <v>1</v>
      </c>
    </row>
    <row r="3" spans="1:46" x14ac:dyDescent="0.2">
      <c r="A3">
        <v>4</v>
      </c>
      <c r="B3" t="s">
        <v>1</v>
      </c>
      <c r="C3">
        <v>124.33</v>
      </c>
      <c r="D3">
        <v>1223000</v>
      </c>
      <c r="E3" s="11">
        <v>0.20676073128135333</v>
      </c>
      <c r="F3">
        <v>24.12</v>
      </c>
      <c r="G3" s="10">
        <v>0.1</v>
      </c>
      <c r="H3" s="1">
        <f t="shared" ref="H3:H27" si="0">T30</f>
        <v>4.3108075804597822E-2</v>
      </c>
      <c r="I3" s="5">
        <f t="shared" ref="I3:I27" si="1">ABS(H3*$B$29)</f>
        <v>4310807.5804597819</v>
      </c>
      <c r="J3" s="6">
        <f t="shared" ref="J3:K26" si="2">I3/C3</f>
        <v>34672.304194158947</v>
      </c>
      <c r="K3" s="4">
        <f t="shared" si="2"/>
        <v>2.8350207844774281E-2</v>
      </c>
      <c r="L3" s="1">
        <f t="shared" ref="L3:L26" si="3">K3/(1+K3)</f>
        <v>2.7568631414186126E-2</v>
      </c>
      <c r="M3">
        <f t="shared" ref="M3:M26" si="4">$E$29*(K3^$E$30)*(E3^$E$31)*($E$33*(L3^$E$32)+(1-$E$33))</f>
        <v>7.8636080391484517</v>
      </c>
      <c r="N3" s="5">
        <f t="shared" ref="N3:N26" si="5">M3/10000*I3</f>
        <v>3389.8501144925626</v>
      </c>
      <c r="O3" s="3">
        <f t="shared" ref="O3:O25" si="6">G3*I3</f>
        <v>431080.7580459782</v>
      </c>
      <c r="P3" s="5">
        <f t="shared" ref="P3:P26" si="7">O3-N3</f>
        <v>427690.90793148562</v>
      </c>
      <c r="R3" t="s">
        <v>1</v>
      </c>
      <c r="S3">
        <v>1.1484558000000001E-2</v>
      </c>
      <c r="T3">
        <v>4.2999701000000001E-2</v>
      </c>
      <c r="U3">
        <v>1.1263903E-2</v>
      </c>
      <c r="V3">
        <v>1.2521071999999999E-2</v>
      </c>
      <c r="W3">
        <v>1.1037646999999999E-2</v>
      </c>
      <c r="X3">
        <v>6.8283659999999998E-3</v>
      </c>
      <c r="Y3">
        <v>1.1370447000000001E-2</v>
      </c>
      <c r="Z3">
        <v>1.379623E-2</v>
      </c>
      <c r="AA3">
        <v>1.1402361E-2</v>
      </c>
      <c r="AB3">
        <v>9.2278780000000001E-3</v>
      </c>
      <c r="AC3">
        <v>1.3389317E-2</v>
      </c>
      <c r="AD3">
        <v>9.4890830000000006E-3</v>
      </c>
      <c r="AE3">
        <v>9.5118640000000001E-3</v>
      </c>
      <c r="AF3">
        <v>9.4450660000000002E-3</v>
      </c>
      <c r="AG3">
        <v>7.9634219999999995E-3</v>
      </c>
      <c r="AH3">
        <v>5.5859569999999999E-3</v>
      </c>
      <c r="AI3">
        <v>1.1734583E-2</v>
      </c>
      <c r="AJ3">
        <v>1.083219E-2</v>
      </c>
      <c r="AK3">
        <v>9.3394289999999998E-3</v>
      </c>
      <c r="AL3">
        <v>8.1760359999999994E-3</v>
      </c>
      <c r="AM3">
        <v>1.2795332E-2</v>
      </c>
      <c r="AN3">
        <v>6.6481750000000001E-3</v>
      </c>
      <c r="AO3">
        <v>9.2613230000000001E-3</v>
      </c>
      <c r="AP3">
        <v>1.1295690000000001E-2</v>
      </c>
      <c r="AQ3">
        <v>1.1222357000000001E-2</v>
      </c>
      <c r="AS3">
        <v>0.04</v>
      </c>
      <c r="AT3">
        <v>2</v>
      </c>
    </row>
    <row r="4" spans="1:46" x14ac:dyDescent="0.2">
      <c r="A4">
        <v>4</v>
      </c>
      <c r="B4" t="s">
        <v>2</v>
      </c>
      <c r="C4">
        <v>37.97</v>
      </c>
      <c r="D4">
        <v>2061000</v>
      </c>
      <c r="E4" s="11">
        <v>0.21035683967962629</v>
      </c>
      <c r="F4">
        <v>23.24</v>
      </c>
      <c r="G4" s="10">
        <v>0.14000000000000001</v>
      </c>
      <c r="H4" s="1">
        <f t="shared" si="0"/>
        <v>5.0000000000000001E-3</v>
      </c>
      <c r="I4" s="5">
        <f t="shared" si="1"/>
        <v>500000</v>
      </c>
      <c r="J4" s="6">
        <f t="shared" si="2"/>
        <v>13168.290755859889</v>
      </c>
      <c r="K4" s="4">
        <f t="shared" si="2"/>
        <v>6.3892725647063994E-3</v>
      </c>
      <c r="L4" s="1">
        <f t="shared" si="3"/>
        <v>6.3487089329001146E-3</v>
      </c>
      <c r="M4">
        <f t="shared" si="4"/>
        <v>2.5447870488752544</v>
      </c>
      <c r="N4" s="5">
        <f t="shared" si="5"/>
        <v>127.23935244376273</v>
      </c>
      <c r="O4" s="3">
        <f t="shared" si="6"/>
        <v>70000</v>
      </c>
      <c r="P4" s="5">
        <f t="shared" si="7"/>
        <v>69872.760647556235</v>
      </c>
      <c r="R4" t="s">
        <v>2</v>
      </c>
      <c r="S4">
        <v>1.5073507999999999E-2</v>
      </c>
      <c r="T4">
        <v>1.1263903E-2</v>
      </c>
      <c r="U4">
        <v>4.4410461999999998E-2</v>
      </c>
      <c r="V4">
        <v>1.7529769000000001E-2</v>
      </c>
      <c r="W4">
        <v>1.4933154000000001E-2</v>
      </c>
      <c r="X4">
        <v>8.9398870000000005E-3</v>
      </c>
      <c r="Y4">
        <v>1.5734531999999999E-2</v>
      </c>
      <c r="Z4">
        <v>2.0566745000000001E-2</v>
      </c>
      <c r="AA4">
        <v>1.6765188E-2</v>
      </c>
      <c r="AB4">
        <v>1.2484011999999999E-2</v>
      </c>
      <c r="AC4">
        <v>1.7664776E-2</v>
      </c>
      <c r="AD4">
        <v>1.3423829999999999E-2</v>
      </c>
      <c r="AE4">
        <v>1.2908685E-2</v>
      </c>
      <c r="AF4">
        <v>1.2562039000000001E-2</v>
      </c>
      <c r="AG4">
        <v>1.0063574E-2</v>
      </c>
      <c r="AH4">
        <v>7.0030630000000003E-3</v>
      </c>
      <c r="AI4">
        <v>1.6366851000000002E-2</v>
      </c>
      <c r="AJ4">
        <v>1.4338780000000001E-2</v>
      </c>
      <c r="AK4">
        <v>1.2672320000000001E-2</v>
      </c>
      <c r="AL4">
        <v>1.2705374E-2</v>
      </c>
      <c r="AM4">
        <v>1.7448405E-2</v>
      </c>
      <c r="AN4">
        <v>8.0126929999999996E-3</v>
      </c>
      <c r="AO4">
        <v>1.1332904E-2</v>
      </c>
      <c r="AP4">
        <v>1.5340001000000001E-2</v>
      </c>
      <c r="AQ4">
        <v>1.5411647000000001E-2</v>
      </c>
      <c r="AS4">
        <v>0.04</v>
      </c>
      <c r="AT4">
        <v>3</v>
      </c>
    </row>
    <row r="5" spans="1:46" x14ac:dyDescent="0.2">
      <c r="A5">
        <v>4</v>
      </c>
      <c r="B5" t="s">
        <v>3</v>
      </c>
      <c r="C5">
        <v>53.28</v>
      </c>
      <c r="D5">
        <v>6561000</v>
      </c>
      <c r="E5" s="11">
        <v>0.22135943621178655</v>
      </c>
      <c r="F5">
        <v>23.9</v>
      </c>
      <c r="G5" s="10">
        <v>0.12</v>
      </c>
      <c r="H5" s="1">
        <f t="shared" si="0"/>
        <v>5.0000000000000001E-3</v>
      </c>
      <c r="I5" s="5">
        <f t="shared" si="1"/>
        <v>500000</v>
      </c>
      <c r="J5" s="6">
        <f t="shared" si="2"/>
        <v>9384.3843843843842</v>
      </c>
      <c r="K5" s="4">
        <f t="shared" si="2"/>
        <v>1.4303283621985039E-3</v>
      </c>
      <c r="L5" s="1">
        <f t="shared" si="3"/>
        <v>1.4282854450171803E-3</v>
      </c>
      <c r="M5">
        <f t="shared" si="4"/>
        <v>1.1144177340700776</v>
      </c>
      <c r="N5" s="5">
        <f t="shared" si="5"/>
        <v>55.720886703503879</v>
      </c>
      <c r="O5" s="3">
        <f t="shared" si="6"/>
        <v>60000</v>
      </c>
      <c r="P5" s="5">
        <f t="shared" si="7"/>
        <v>59944.279113296499</v>
      </c>
      <c r="R5" t="s">
        <v>3</v>
      </c>
      <c r="S5">
        <v>1.7006291E-2</v>
      </c>
      <c r="T5">
        <v>1.2521071999999999E-2</v>
      </c>
      <c r="U5">
        <v>1.7529769000000001E-2</v>
      </c>
      <c r="V5">
        <v>4.9189314999999997E-2</v>
      </c>
      <c r="W5">
        <v>1.6771273999999999E-2</v>
      </c>
      <c r="X5">
        <v>9.9560359999999997E-3</v>
      </c>
      <c r="Y5">
        <v>1.7689013E-2</v>
      </c>
      <c r="Z5">
        <v>2.3247451999999998E-2</v>
      </c>
      <c r="AA5">
        <v>1.9109977E-2</v>
      </c>
      <c r="AB5">
        <v>1.4048568000000001E-2</v>
      </c>
      <c r="AC5">
        <v>2.0364139E-2</v>
      </c>
      <c r="AD5">
        <v>1.52652E-2</v>
      </c>
      <c r="AE5">
        <v>1.4544969E-2</v>
      </c>
      <c r="AF5">
        <v>1.4174340000000001E-2</v>
      </c>
      <c r="AG5">
        <v>1.1144744E-2</v>
      </c>
      <c r="AH5">
        <v>7.7264040000000001E-3</v>
      </c>
      <c r="AI5">
        <v>1.8889063000000001E-2</v>
      </c>
      <c r="AJ5">
        <v>1.6081899E-2</v>
      </c>
      <c r="AK5">
        <v>1.4315746000000001E-2</v>
      </c>
      <c r="AL5">
        <v>1.4592612E-2</v>
      </c>
      <c r="AM5">
        <v>1.9760361000000001E-2</v>
      </c>
      <c r="AN5">
        <v>8.8200180000000006E-3</v>
      </c>
      <c r="AO5">
        <v>1.2576311999999999E-2</v>
      </c>
      <c r="AP5">
        <v>1.7604024999999999E-2</v>
      </c>
      <c r="AQ5">
        <v>1.7519578000000001E-2</v>
      </c>
      <c r="AS5">
        <v>0.04</v>
      </c>
      <c r="AT5">
        <v>4</v>
      </c>
    </row>
    <row r="6" spans="1:46" x14ac:dyDescent="0.2">
      <c r="A6">
        <v>4</v>
      </c>
      <c r="B6" t="s">
        <v>4</v>
      </c>
      <c r="C6">
        <v>50.8</v>
      </c>
      <c r="D6">
        <v>2210000</v>
      </c>
      <c r="E6" s="11">
        <v>0.20371548787463364</v>
      </c>
      <c r="F6">
        <v>23.17</v>
      </c>
      <c r="G6" s="10">
        <v>0.1</v>
      </c>
      <c r="H6" s="1">
        <f t="shared" si="0"/>
        <v>5.0000000000000001E-3</v>
      </c>
      <c r="I6" s="5">
        <f t="shared" si="1"/>
        <v>500000</v>
      </c>
      <c r="J6" s="6">
        <f t="shared" si="2"/>
        <v>9842.5196850393713</v>
      </c>
      <c r="K6" s="4">
        <f t="shared" si="2"/>
        <v>4.4536288167598961E-3</v>
      </c>
      <c r="L6" s="1">
        <f t="shared" si="3"/>
        <v>4.433881952326902E-3</v>
      </c>
      <c r="M6">
        <f t="shared" si="4"/>
        <v>1.9835547277177563</v>
      </c>
      <c r="N6" s="5">
        <f t="shared" si="5"/>
        <v>99.177736385887812</v>
      </c>
      <c r="O6" s="3">
        <f t="shared" si="6"/>
        <v>50000</v>
      </c>
      <c r="P6" s="5">
        <f t="shared" si="7"/>
        <v>49900.822263614114</v>
      </c>
      <c r="R6" t="s">
        <v>4</v>
      </c>
      <c r="S6">
        <v>1.4288515999999999E-2</v>
      </c>
      <c r="T6">
        <v>1.1037646999999999E-2</v>
      </c>
      <c r="U6">
        <v>1.4933154000000001E-2</v>
      </c>
      <c r="V6">
        <v>1.6771273999999999E-2</v>
      </c>
      <c r="W6">
        <v>4.1702840999999997E-2</v>
      </c>
      <c r="X6">
        <v>8.8337369999999995E-3</v>
      </c>
      <c r="Y6">
        <v>1.5441902E-2</v>
      </c>
      <c r="Z6">
        <v>2.0427667E-2</v>
      </c>
      <c r="AA6">
        <v>1.6111365999999998E-2</v>
      </c>
      <c r="AB6">
        <v>1.2096318999999999E-2</v>
      </c>
      <c r="AC6">
        <v>1.5552655E-2</v>
      </c>
      <c r="AD6">
        <v>1.2800272999999999E-2</v>
      </c>
      <c r="AE6">
        <v>1.2472197000000001E-2</v>
      </c>
      <c r="AF6">
        <v>1.1974423E-2</v>
      </c>
      <c r="AG6">
        <v>9.9659359999999999E-3</v>
      </c>
      <c r="AH6">
        <v>6.9924239999999997E-3</v>
      </c>
      <c r="AI6">
        <v>1.4727825999999999E-2</v>
      </c>
      <c r="AJ6">
        <v>1.3914826999999999E-2</v>
      </c>
      <c r="AK6">
        <v>1.2137656E-2</v>
      </c>
      <c r="AL6">
        <v>1.2159328E-2</v>
      </c>
      <c r="AM6">
        <v>1.6608996000000001E-2</v>
      </c>
      <c r="AN6">
        <v>7.913359E-3</v>
      </c>
      <c r="AO6">
        <v>1.0984291E-2</v>
      </c>
      <c r="AP6">
        <v>1.391967E-2</v>
      </c>
      <c r="AQ6">
        <v>1.4528236999999999E-2</v>
      </c>
      <c r="AS6">
        <v>0.04</v>
      </c>
      <c r="AT6">
        <v>5</v>
      </c>
    </row>
    <row r="7" spans="1:46" x14ac:dyDescent="0.2">
      <c r="A7">
        <v>4</v>
      </c>
      <c r="B7" t="s">
        <v>5</v>
      </c>
      <c r="C7">
        <v>81.91</v>
      </c>
      <c r="D7">
        <v>2550000</v>
      </c>
      <c r="E7" s="11">
        <v>0.16881943016134132</v>
      </c>
      <c r="F7">
        <v>24.09</v>
      </c>
      <c r="G7" s="10">
        <v>0.08</v>
      </c>
      <c r="H7" s="1">
        <f t="shared" si="0"/>
        <v>0.11800301940043566</v>
      </c>
      <c r="I7" s="5">
        <f t="shared" si="1"/>
        <v>11800301.940043565</v>
      </c>
      <c r="J7" s="6">
        <f t="shared" si="2"/>
        <v>144064.24050840636</v>
      </c>
      <c r="K7" s="4">
        <f t="shared" si="2"/>
        <v>5.6495780591531909E-2</v>
      </c>
      <c r="L7" s="1">
        <f t="shared" si="3"/>
        <v>5.3474686439258595E-2</v>
      </c>
      <c r="M7">
        <f t="shared" si="4"/>
        <v>12.899519020231487</v>
      </c>
      <c r="N7" s="5">
        <f t="shared" si="5"/>
        <v>15221.821932006649</v>
      </c>
      <c r="O7" s="3">
        <f t="shared" si="6"/>
        <v>944024.15520348516</v>
      </c>
      <c r="P7" s="5">
        <f t="shared" si="7"/>
        <v>928802.33327147854</v>
      </c>
      <c r="R7" t="s">
        <v>5</v>
      </c>
      <c r="S7">
        <v>8.5739309999999999E-3</v>
      </c>
      <c r="T7">
        <v>6.8283659999999998E-3</v>
      </c>
      <c r="U7">
        <v>8.9398870000000005E-3</v>
      </c>
      <c r="V7">
        <v>9.9560359999999997E-3</v>
      </c>
      <c r="W7">
        <v>8.8337369999999995E-3</v>
      </c>
      <c r="X7">
        <v>2.8736925E-2</v>
      </c>
      <c r="Y7">
        <v>9.3510520000000003E-3</v>
      </c>
      <c r="Z7">
        <v>1.2249848000000001E-2</v>
      </c>
      <c r="AA7">
        <v>9.4771969999999997E-3</v>
      </c>
      <c r="AB7">
        <v>7.3057189999999996E-3</v>
      </c>
      <c r="AC7">
        <v>8.8424109999999997E-3</v>
      </c>
      <c r="AD7">
        <v>7.5612500000000003E-3</v>
      </c>
      <c r="AE7">
        <v>7.5125890000000001E-3</v>
      </c>
      <c r="AF7">
        <v>7.1863710000000004E-3</v>
      </c>
      <c r="AG7">
        <v>6.2104170000000002E-3</v>
      </c>
      <c r="AH7">
        <v>4.387981E-3</v>
      </c>
      <c r="AI7">
        <v>8.3743129999999995E-3</v>
      </c>
      <c r="AJ7">
        <v>8.4597860000000004E-3</v>
      </c>
      <c r="AK7">
        <v>7.2692859999999998E-3</v>
      </c>
      <c r="AL7">
        <v>7.0373629999999996E-3</v>
      </c>
      <c r="AM7">
        <v>9.892863E-3</v>
      </c>
      <c r="AN7">
        <v>4.9855979999999999E-3</v>
      </c>
      <c r="AO7">
        <v>6.8147720000000002E-3</v>
      </c>
      <c r="AP7">
        <v>8.0249989999999997E-3</v>
      </c>
      <c r="AQ7">
        <v>8.5800809999999998E-3</v>
      </c>
      <c r="AS7">
        <v>0.04</v>
      </c>
      <c r="AT7">
        <v>6</v>
      </c>
    </row>
    <row r="8" spans="1:46" x14ac:dyDescent="0.2">
      <c r="A8">
        <v>4</v>
      </c>
      <c r="B8" t="s">
        <v>6</v>
      </c>
      <c r="C8">
        <v>52.99</v>
      </c>
      <c r="D8">
        <v>4036000</v>
      </c>
      <c r="E8" s="11">
        <v>0.22360679774997896</v>
      </c>
      <c r="F8">
        <v>24.43</v>
      </c>
      <c r="G8" s="10">
        <v>0.09</v>
      </c>
      <c r="H8" s="1">
        <f t="shared" si="0"/>
        <v>5.0000000000000001E-3</v>
      </c>
      <c r="I8" s="5">
        <f t="shared" si="1"/>
        <v>500000</v>
      </c>
      <c r="J8" s="6">
        <f t="shared" si="2"/>
        <v>9435.7425929420642</v>
      </c>
      <c r="K8" s="4">
        <f t="shared" si="2"/>
        <v>2.3378945968637425E-3</v>
      </c>
      <c r="L8" s="1">
        <f t="shared" si="3"/>
        <v>2.3324415942630149E-3</v>
      </c>
      <c r="M8">
        <f t="shared" si="4"/>
        <v>1.442352904902271</v>
      </c>
      <c r="N8" s="5">
        <f t="shared" si="5"/>
        <v>72.11764524511355</v>
      </c>
      <c r="O8" s="3">
        <f t="shared" si="6"/>
        <v>45000</v>
      </c>
      <c r="P8" s="5">
        <f t="shared" si="7"/>
        <v>44927.882354754889</v>
      </c>
      <c r="R8" t="s">
        <v>6</v>
      </c>
      <c r="S8">
        <v>1.4396213E-2</v>
      </c>
      <c r="T8">
        <v>1.1370447000000001E-2</v>
      </c>
      <c r="U8">
        <v>1.5734531999999999E-2</v>
      </c>
      <c r="V8">
        <v>1.7689013E-2</v>
      </c>
      <c r="W8">
        <v>1.5441902E-2</v>
      </c>
      <c r="X8">
        <v>9.3510520000000003E-3</v>
      </c>
      <c r="Y8">
        <v>5.0373813000000003E-2</v>
      </c>
      <c r="Z8">
        <v>2.3111368E-2</v>
      </c>
      <c r="AA8">
        <v>1.7488133999999999E-2</v>
      </c>
      <c r="AB8">
        <v>1.2726790999999999E-2</v>
      </c>
      <c r="AC8">
        <v>1.4184054999999999E-2</v>
      </c>
      <c r="AD8">
        <v>1.3518128000000001E-2</v>
      </c>
      <c r="AE8">
        <v>1.3099230999999999E-2</v>
      </c>
      <c r="AF8">
        <v>1.2239831E-2</v>
      </c>
      <c r="AG8">
        <v>1.0380172E-2</v>
      </c>
      <c r="AH8">
        <v>7.3234349999999997E-3</v>
      </c>
      <c r="AI8">
        <v>1.434768E-2</v>
      </c>
      <c r="AJ8">
        <v>1.4501042E-2</v>
      </c>
      <c r="AK8">
        <v>1.2614465E-2</v>
      </c>
      <c r="AL8">
        <v>1.3467321000000001E-2</v>
      </c>
      <c r="AM8">
        <v>1.7177246E-2</v>
      </c>
      <c r="AN8">
        <v>7.9968969999999993E-3</v>
      </c>
      <c r="AO8">
        <v>1.0933399E-2</v>
      </c>
      <c r="AP8">
        <v>1.3502448E-2</v>
      </c>
      <c r="AQ8">
        <v>1.4902575E-2</v>
      </c>
      <c r="AS8">
        <v>0.04</v>
      </c>
      <c r="AT8">
        <v>7</v>
      </c>
    </row>
    <row r="9" spans="1:46" x14ac:dyDescent="0.2">
      <c r="A9">
        <v>4</v>
      </c>
      <c r="B9" t="s">
        <v>7</v>
      </c>
      <c r="C9">
        <v>131.25</v>
      </c>
      <c r="D9">
        <v>5468000</v>
      </c>
      <c r="E9" s="11">
        <v>0.28195744359743369</v>
      </c>
      <c r="F9">
        <v>25.21</v>
      </c>
      <c r="G9" s="10">
        <v>0.17</v>
      </c>
      <c r="H9" s="1">
        <f t="shared" si="0"/>
        <v>5.0000000000000001E-3</v>
      </c>
      <c r="I9" s="5">
        <f t="shared" si="1"/>
        <v>500000</v>
      </c>
      <c r="J9" s="6">
        <f t="shared" si="2"/>
        <v>3809.5238095238096</v>
      </c>
      <c r="K9" s="4">
        <f t="shared" si="2"/>
        <v>6.9669418608701709E-4</v>
      </c>
      <c r="L9" s="1">
        <f t="shared" si="3"/>
        <v>6.9620914122602419E-4</v>
      </c>
      <c r="M9">
        <f t="shared" si="4"/>
        <v>0.91719838621519345</v>
      </c>
      <c r="N9" s="5">
        <f t="shared" si="5"/>
        <v>45.859919310759672</v>
      </c>
      <c r="O9" s="3">
        <f t="shared" si="6"/>
        <v>85000</v>
      </c>
      <c r="P9" s="5">
        <f t="shared" si="7"/>
        <v>84954.140080689234</v>
      </c>
      <c r="R9" t="s">
        <v>7</v>
      </c>
      <c r="S9">
        <v>1.6525015000000001E-2</v>
      </c>
      <c r="T9">
        <v>1.379623E-2</v>
      </c>
      <c r="U9">
        <v>2.0566745000000001E-2</v>
      </c>
      <c r="V9">
        <v>2.3247451999999998E-2</v>
      </c>
      <c r="W9">
        <v>2.0427667E-2</v>
      </c>
      <c r="X9">
        <v>1.2249848000000001E-2</v>
      </c>
      <c r="Y9">
        <v>2.3111368E-2</v>
      </c>
      <c r="Z9">
        <v>8.0008229E-2</v>
      </c>
      <c r="AA9">
        <v>2.4757514000000001E-2</v>
      </c>
      <c r="AB9">
        <v>1.6521503999999999E-2</v>
      </c>
      <c r="AC9">
        <v>1.1288289E-2</v>
      </c>
      <c r="AD9">
        <v>1.7854774E-2</v>
      </c>
      <c r="AE9">
        <v>1.6940710000000001E-2</v>
      </c>
      <c r="AF9">
        <v>1.4681994E-2</v>
      </c>
      <c r="AG9">
        <v>1.296371E-2</v>
      </c>
      <c r="AH9">
        <v>9.2645120000000008E-3</v>
      </c>
      <c r="AI9">
        <v>1.5050312E-2</v>
      </c>
      <c r="AJ9">
        <v>1.8300312999999999E-2</v>
      </c>
      <c r="AK9">
        <v>1.5883161999999999E-2</v>
      </c>
      <c r="AL9">
        <v>2.0053793E-2</v>
      </c>
      <c r="AM9">
        <v>2.137505E-2</v>
      </c>
      <c r="AN9">
        <v>9.0834869999999995E-3</v>
      </c>
      <c r="AO9">
        <v>1.1895149000000001E-2</v>
      </c>
      <c r="AP9">
        <v>1.3863851999999999E-2</v>
      </c>
      <c r="AQ9">
        <v>1.8169238000000001E-2</v>
      </c>
      <c r="AS9">
        <v>0.04</v>
      </c>
      <c r="AT9">
        <v>8</v>
      </c>
    </row>
    <row r="10" spans="1:46" x14ac:dyDescent="0.2">
      <c r="A10">
        <v>4</v>
      </c>
      <c r="B10" t="s">
        <v>8</v>
      </c>
      <c r="C10">
        <v>71.72</v>
      </c>
      <c r="D10">
        <v>1652000</v>
      </c>
      <c r="E10" s="11">
        <v>0.21737065119284157</v>
      </c>
      <c r="F10">
        <v>23.73</v>
      </c>
      <c r="G10" s="10">
        <v>0.14000000000000001</v>
      </c>
      <c r="H10" s="1">
        <f t="shared" si="0"/>
        <v>5.0000000000000001E-3</v>
      </c>
      <c r="I10" s="5">
        <f t="shared" si="1"/>
        <v>500000</v>
      </c>
      <c r="J10" s="6">
        <f t="shared" si="2"/>
        <v>6971.5560513106529</v>
      </c>
      <c r="K10" s="4">
        <f t="shared" si="2"/>
        <v>4.2200702489773928E-3</v>
      </c>
      <c r="L10" s="1">
        <f t="shared" si="3"/>
        <v>4.2023360954448023E-3</v>
      </c>
      <c r="M10">
        <f t="shared" si="4"/>
        <v>1.9909335550774963</v>
      </c>
      <c r="N10" s="5">
        <f t="shared" si="5"/>
        <v>99.546677753874818</v>
      </c>
      <c r="O10" s="3">
        <f t="shared" si="6"/>
        <v>70000</v>
      </c>
      <c r="P10" s="5">
        <f t="shared" si="7"/>
        <v>69900.453322246132</v>
      </c>
      <c r="R10" t="s">
        <v>8</v>
      </c>
      <c r="S10">
        <v>1.5196238000000001E-2</v>
      </c>
      <c r="T10">
        <v>1.1402361E-2</v>
      </c>
      <c r="U10">
        <v>1.6765188E-2</v>
      </c>
      <c r="V10">
        <v>1.9109977E-2</v>
      </c>
      <c r="W10">
        <v>1.6111365999999998E-2</v>
      </c>
      <c r="X10">
        <v>9.4771969999999997E-3</v>
      </c>
      <c r="Y10">
        <v>1.7488133999999999E-2</v>
      </c>
      <c r="Z10">
        <v>2.4757514000000001E-2</v>
      </c>
      <c r="AA10">
        <v>4.7500506999999997E-2</v>
      </c>
      <c r="AB10">
        <v>1.3360161000000001E-2</v>
      </c>
      <c r="AC10">
        <v>1.6286947999999999E-2</v>
      </c>
      <c r="AD10">
        <v>1.4721553E-2</v>
      </c>
      <c r="AE10">
        <v>1.3810118E-2</v>
      </c>
      <c r="AF10">
        <v>1.2940202E-2</v>
      </c>
      <c r="AG10">
        <v>1.0291391E-2</v>
      </c>
      <c r="AH10">
        <v>7.1744640000000002E-3</v>
      </c>
      <c r="AI10">
        <v>1.6509431000000001E-2</v>
      </c>
      <c r="AJ10">
        <v>1.5031246999999999E-2</v>
      </c>
      <c r="AK10">
        <v>1.3410089E-2</v>
      </c>
      <c r="AL10">
        <v>1.5177207999999999E-2</v>
      </c>
      <c r="AM10">
        <v>1.841775E-2</v>
      </c>
      <c r="AN10">
        <v>7.7125079999999999E-3</v>
      </c>
      <c r="AO10">
        <v>1.0833048E-2</v>
      </c>
      <c r="AP10">
        <v>1.5194439000000001E-2</v>
      </c>
      <c r="AQ10">
        <v>1.6191100999999999E-2</v>
      </c>
      <c r="AS10">
        <v>0.04</v>
      </c>
      <c r="AT10">
        <v>9</v>
      </c>
    </row>
    <row r="11" spans="1:46" x14ac:dyDescent="0.2">
      <c r="A11">
        <v>4</v>
      </c>
      <c r="B11" t="s">
        <v>9</v>
      </c>
      <c r="C11">
        <v>58.89</v>
      </c>
      <c r="D11">
        <v>3777000</v>
      </c>
      <c r="E11" s="11">
        <v>0.24545875417267154</v>
      </c>
      <c r="F11">
        <v>23.09</v>
      </c>
      <c r="G11" s="10">
        <v>0.12</v>
      </c>
      <c r="H11" s="1">
        <f t="shared" si="0"/>
        <v>2.7034088361790241E-2</v>
      </c>
      <c r="I11" s="5">
        <f t="shared" si="1"/>
        <v>2703408.8361790241</v>
      </c>
      <c r="J11" s="6">
        <f t="shared" si="2"/>
        <v>45906.076348769297</v>
      </c>
      <c r="K11" s="4">
        <f t="shared" si="2"/>
        <v>1.2154110762184088E-2</v>
      </c>
      <c r="L11" s="1">
        <f t="shared" si="3"/>
        <v>1.2008162228409721E-2</v>
      </c>
      <c r="M11">
        <f t="shared" si="4"/>
        <v>4.3798301631947689</v>
      </c>
      <c r="N11" s="5">
        <f t="shared" si="5"/>
        <v>1184.0471564144154</v>
      </c>
      <c r="O11" s="3">
        <f t="shared" si="6"/>
        <v>324409.06034148287</v>
      </c>
      <c r="P11" s="5">
        <f t="shared" si="7"/>
        <v>323225.01318506844</v>
      </c>
      <c r="R11" t="s">
        <v>9</v>
      </c>
      <c r="S11">
        <v>1.2164378E-2</v>
      </c>
      <c r="T11">
        <v>9.2278780000000001E-3</v>
      </c>
      <c r="U11">
        <v>1.2484011999999999E-2</v>
      </c>
      <c r="V11">
        <v>1.4048568000000001E-2</v>
      </c>
      <c r="W11">
        <v>1.2096318999999999E-2</v>
      </c>
      <c r="X11">
        <v>7.3057189999999996E-3</v>
      </c>
      <c r="Y11">
        <v>1.2726790999999999E-2</v>
      </c>
      <c r="Z11">
        <v>1.6521503999999999E-2</v>
      </c>
      <c r="AA11">
        <v>1.3360161000000001E-2</v>
      </c>
      <c r="AB11">
        <v>6.0673428000000001E-2</v>
      </c>
      <c r="AC11">
        <v>1.3950921E-2</v>
      </c>
      <c r="AD11">
        <v>1.0731345999999999E-2</v>
      </c>
      <c r="AE11">
        <v>1.0422692000000001E-2</v>
      </c>
      <c r="AF11">
        <v>1.0133469000000001E-2</v>
      </c>
      <c r="AG11">
        <v>8.2744640000000005E-3</v>
      </c>
      <c r="AH11">
        <v>5.7793760000000001E-3</v>
      </c>
      <c r="AI11">
        <v>1.2894783999999999E-2</v>
      </c>
      <c r="AJ11">
        <v>1.1635776E-2</v>
      </c>
      <c r="AK11">
        <v>1.020601E-2</v>
      </c>
      <c r="AL11">
        <v>1.0036688E-2</v>
      </c>
      <c r="AM11">
        <v>1.4016733999999999E-2</v>
      </c>
      <c r="AN11">
        <v>6.6329930000000002E-3</v>
      </c>
      <c r="AO11">
        <v>9.3072239999999994E-3</v>
      </c>
      <c r="AP11">
        <v>1.2162709000000001E-2</v>
      </c>
      <c r="AQ11">
        <v>1.2332696000000001E-2</v>
      </c>
      <c r="AS11">
        <v>0.04</v>
      </c>
      <c r="AT11">
        <v>10</v>
      </c>
    </row>
    <row r="12" spans="1:46" x14ac:dyDescent="0.2">
      <c r="A12">
        <v>4</v>
      </c>
      <c r="B12" t="s">
        <v>10</v>
      </c>
      <c r="C12">
        <v>8.66</v>
      </c>
      <c r="D12">
        <v>13378000</v>
      </c>
      <c r="E12" s="11">
        <v>0.40650953248355692</v>
      </c>
      <c r="F12">
        <v>22.02</v>
      </c>
      <c r="G12" s="10">
        <v>0.21</v>
      </c>
      <c r="H12" s="1">
        <f t="shared" si="0"/>
        <v>5.0000000000000001E-3</v>
      </c>
      <c r="I12" s="5">
        <f t="shared" si="1"/>
        <v>500000</v>
      </c>
      <c r="J12" s="6">
        <f t="shared" si="2"/>
        <v>57736.720554272513</v>
      </c>
      <c r="K12" s="4">
        <f t="shared" si="2"/>
        <v>4.3157961245531857E-3</v>
      </c>
      <c r="L12" s="1">
        <f t="shared" si="3"/>
        <v>4.2972500693576159E-3</v>
      </c>
      <c r="M12">
        <f t="shared" si="4"/>
        <v>2.8764006181805115</v>
      </c>
      <c r="N12" s="5">
        <f t="shared" si="5"/>
        <v>143.82003090902558</v>
      </c>
      <c r="O12" s="3">
        <f t="shared" si="6"/>
        <v>105000</v>
      </c>
      <c r="P12" s="5">
        <f t="shared" si="7"/>
        <v>104856.17996909097</v>
      </c>
      <c r="R12" t="s">
        <v>10</v>
      </c>
      <c r="S12">
        <v>2.2022389E-2</v>
      </c>
      <c r="T12">
        <v>1.3389317E-2</v>
      </c>
      <c r="U12">
        <v>1.7664776E-2</v>
      </c>
      <c r="V12">
        <v>2.0364139E-2</v>
      </c>
      <c r="W12">
        <v>1.5552655E-2</v>
      </c>
      <c r="X12">
        <v>8.8424109999999997E-3</v>
      </c>
      <c r="Y12">
        <v>1.4184054999999999E-2</v>
      </c>
      <c r="Z12">
        <v>1.1288289E-2</v>
      </c>
      <c r="AA12">
        <v>1.6286947999999999E-2</v>
      </c>
      <c r="AB12">
        <v>1.3950921E-2</v>
      </c>
      <c r="AC12">
        <v>0.16642889799999999</v>
      </c>
      <c r="AD12">
        <v>1.5699439999999999E-2</v>
      </c>
      <c r="AE12">
        <v>1.4728309E-2</v>
      </c>
      <c r="AF12">
        <v>1.7044930999999999E-2</v>
      </c>
      <c r="AG12">
        <v>1.0821694999999999E-2</v>
      </c>
      <c r="AH12">
        <v>7.0277580000000003E-3</v>
      </c>
      <c r="AI12">
        <v>3.0299209000000001E-2</v>
      </c>
      <c r="AJ12">
        <v>1.6720395999999998E-2</v>
      </c>
      <c r="AK12">
        <v>1.5732393000000001E-2</v>
      </c>
      <c r="AL12">
        <v>1.1049302E-2</v>
      </c>
      <c r="AM12">
        <v>2.2632334E-2</v>
      </c>
      <c r="AN12">
        <v>1.0128401E-2</v>
      </c>
      <c r="AO12">
        <v>1.6230772000000001E-2</v>
      </c>
      <c r="AP12">
        <v>2.8228306000000002E-2</v>
      </c>
      <c r="AQ12">
        <v>2.1360833999999999E-2</v>
      </c>
      <c r="AS12">
        <v>0.04</v>
      </c>
      <c r="AT12">
        <v>11</v>
      </c>
    </row>
    <row r="13" spans="1:46" x14ac:dyDescent="0.2">
      <c r="A13">
        <v>4</v>
      </c>
      <c r="B13" t="s">
        <v>11</v>
      </c>
      <c r="C13">
        <v>69.75</v>
      </c>
      <c r="D13">
        <v>1680000</v>
      </c>
      <c r="E13" s="11">
        <v>0.21447610589527216</v>
      </c>
      <c r="F13">
        <v>23.01</v>
      </c>
      <c r="G13" s="10">
        <v>0.15</v>
      </c>
      <c r="H13" s="1">
        <f t="shared" si="0"/>
        <v>4.4953138035638489E-2</v>
      </c>
      <c r="I13" s="5">
        <f t="shared" si="1"/>
        <v>4495313.8035638491</v>
      </c>
      <c r="J13" s="6">
        <f t="shared" si="2"/>
        <v>64448.94342027024</v>
      </c>
      <c r="K13" s="4">
        <f t="shared" si="2"/>
        <v>3.8362466321589427E-2</v>
      </c>
      <c r="L13" s="1">
        <f t="shared" si="3"/>
        <v>3.6945158907263756E-2</v>
      </c>
      <c r="M13">
        <f t="shared" si="4"/>
        <v>10.440272326572037</v>
      </c>
      <c r="N13" s="5">
        <f t="shared" si="5"/>
        <v>4693.2300302604945</v>
      </c>
      <c r="O13" s="3">
        <f t="shared" si="6"/>
        <v>674297.07053457736</v>
      </c>
      <c r="P13" s="5">
        <f t="shared" si="7"/>
        <v>669603.84050431685</v>
      </c>
      <c r="R13" t="s">
        <v>11</v>
      </c>
      <c r="S13">
        <v>1.2989624999999999E-2</v>
      </c>
      <c r="T13">
        <v>9.4890830000000006E-3</v>
      </c>
      <c r="U13">
        <v>1.3423829999999999E-2</v>
      </c>
      <c r="V13">
        <v>1.52652E-2</v>
      </c>
      <c r="W13">
        <v>1.2800272999999999E-2</v>
      </c>
      <c r="X13">
        <v>7.5612500000000003E-3</v>
      </c>
      <c r="Y13">
        <v>1.3518128000000001E-2</v>
      </c>
      <c r="Z13">
        <v>1.7854774E-2</v>
      </c>
      <c r="AA13">
        <v>1.4721553E-2</v>
      </c>
      <c r="AB13">
        <v>1.0731345999999999E-2</v>
      </c>
      <c r="AC13">
        <v>1.5699439999999999E-2</v>
      </c>
      <c r="AD13">
        <v>4.6404560999999997E-2</v>
      </c>
      <c r="AE13">
        <v>1.1117919E-2</v>
      </c>
      <c r="AF13">
        <v>1.0832688E-2</v>
      </c>
      <c r="AG13">
        <v>8.4308830000000001E-3</v>
      </c>
      <c r="AH13">
        <v>5.8332619999999996E-3</v>
      </c>
      <c r="AI13">
        <v>1.4599045E-2</v>
      </c>
      <c r="AJ13">
        <v>1.225651E-2</v>
      </c>
      <c r="AK13">
        <v>1.0954731000000001E-2</v>
      </c>
      <c r="AL13">
        <v>1.1297681E-2</v>
      </c>
      <c r="AM13">
        <v>1.5139929E-2</v>
      </c>
      <c r="AN13">
        <v>6.6406089999999996E-3</v>
      </c>
      <c r="AO13">
        <v>9.5093629999999998E-3</v>
      </c>
      <c r="AP13">
        <v>1.3560801000000001E-2</v>
      </c>
      <c r="AQ13">
        <v>1.3448009E-2</v>
      </c>
      <c r="AS13">
        <v>0.04</v>
      </c>
      <c r="AT13">
        <v>12</v>
      </c>
    </row>
    <row r="14" spans="1:46" x14ac:dyDescent="0.2">
      <c r="A14">
        <v>4</v>
      </c>
      <c r="B14" t="s">
        <v>12</v>
      </c>
      <c r="C14">
        <v>144.06</v>
      </c>
      <c r="D14">
        <v>1834000</v>
      </c>
      <c r="E14" s="11">
        <v>0.2382225849914319</v>
      </c>
      <c r="F14">
        <v>24.27</v>
      </c>
      <c r="G14" s="10">
        <v>0.14000000000000001</v>
      </c>
      <c r="H14" s="1">
        <f t="shared" si="0"/>
        <v>3.2186401199302023E-2</v>
      </c>
      <c r="I14" s="5">
        <f t="shared" si="1"/>
        <v>3218640.1199302021</v>
      </c>
      <c r="J14" s="6">
        <f t="shared" si="2"/>
        <v>22342.358183605458</v>
      </c>
      <c r="K14" s="4">
        <f t="shared" si="2"/>
        <v>1.2182310896186183E-2</v>
      </c>
      <c r="L14" s="1">
        <f t="shared" si="3"/>
        <v>1.2035688398268849E-2</v>
      </c>
      <c r="M14">
        <f t="shared" si="4"/>
        <v>4.3138081983384033</v>
      </c>
      <c r="N14" s="5">
        <f t="shared" si="5"/>
        <v>1388.4596136855807</v>
      </c>
      <c r="O14" s="3">
        <f t="shared" si="6"/>
        <v>450609.61679022835</v>
      </c>
      <c r="P14" s="5">
        <f t="shared" si="7"/>
        <v>449221.15717654279</v>
      </c>
      <c r="R14" t="s">
        <v>12</v>
      </c>
      <c r="S14">
        <v>1.2630687E-2</v>
      </c>
      <c r="T14">
        <v>9.5118640000000001E-3</v>
      </c>
      <c r="U14">
        <v>1.2908685E-2</v>
      </c>
      <c r="V14">
        <v>1.4544969E-2</v>
      </c>
      <c r="W14">
        <v>1.2472197000000001E-2</v>
      </c>
      <c r="X14">
        <v>7.5125890000000001E-3</v>
      </c>
      <c r="Y14">
        <v>1.3099230999999999E-2</v>
      </c>
      <c r="Z14">
        <v>1.6940710000000001E-2</v>
      </c>
      <c r="AA14">
        <v>1.3810118E-2</v>
      </c>
      <c r="AB14">
        <v>1.0422692000000001E-2</v>
      </c>
      <c r="AC14">
        <v>1.4728309E-2</v>
      </c>
      <c r="AD14">
        <v>1.1117919E-2</v>
      </c>
      <c r="AE14">
        <v>5.7104507999999998E-2</v>
      </c>
      <c r="AF14">
        <v>1.0506725999999999E-2</v>
      </c>
      <c r="AG14">
        <v>8.5083220000000005E-3</v>
      </c>
      <c r="AH14">
        <v>5.9317909999999996E-3</v>
      </c>
      <c r="AI14">
        <v>1.3540416E-2</v>
      </c>
      <c r="AJ14">
        <v>1.2014726E-2</v>
      </c>
      <c r="AK14">
        <v>1.0567653E-2</v>
      </c>
      <c r="AL14">
        <v>1.0378722E-2</v>
      </c>
      <c r="AM14">
        <v>1.4533574E-2</v>
      </c>
      <c r="AN14">
        <v>6.8292259999999999E-3</v>
      </c>
      <c r="AO14">
        <v>9.6226279999999994E-3</v>
      </c>
      <c r="AP14">
        <v>1.2750897000000001E-2</v>
      </c>
      <c r="AQ14">
        <v>1.281536E-2</v>
      </c>
      <c r="AS14">
        <v>0.04</v>
      </c>
      <c r="AT14">
        <v>13</v>
      </c>
    </row>
    <row r="15" spans="1:46" x14ac:dyDescent="0.2">
      <c r="A15">
        <v>4</v>
      </c>
      <c r="B15" t="s">
        <v>13</v>
      </c>
      <c r="C15">
        <v>55.21</v>
      </c>
      <c r="D15">
        <v>566000</v>
      </c>
      <c r="E15" s="11">
        <v>0.1414213562373095</v>
      </c>
      <c r="F15">
        <v>23.03</v>
      </c>
      <c r="G15" s="10">
        <v>0.06</v>
      </c>
      <c r="H15" s="1">
        <f t="shared" si="0"/>
        <v>1.376247603232713E-2</v>
      </c>
      <c r="I15" s="5">
        <f t="shared" si="1"/>
        <v>1376247.603232713</v>
      </c>
      <c r="J15" s="6">
        <f t="shared" si="2"/>
        <v>24927.505945167777</v>
      </c>
      <c r="K15" s="4">
        <f t="shared" si="2"/>
        <v>4.4041529938458973E-2</v>
      </c>
      <c r="L15" s="1">
        <f t="shared" si="3"/>
        <v>4.2183695452282441E-2</v>
      </c>
      <c r="M15">
        <f t="shared" si="4"/>
        <v>9.3235097837414678</v>
      </c>
      <c r="N15" s="5">
        <f t="shared" si="5"/>
        <v>1283.1457993590946</v>
      </c>
      <c r="O15" s="3">
        <f t="shared" si="6"/>
        <v>82574.856193962769</v>
      </c>
      <c r="P15" s="5">
        <f t="shared" si="7"/>
        <v>81291.71039460368</v>
      </c>
      <c r="R15" t="s">
        <v>13</v>
      </c>
      <c r="S15">
        <v>1.3026874000000001E-2</v>
      </c>
      <c r="T15">
        <v>9.4450660000000002E-3</v>
      </c>
      <c r="U15">
        <v>1.2562039000000001E-2</v>
      </c>
      <c r="V15">
        <v>1.4174340000000001E-2</v>
      </c>
      <c r="W15">
        <v>1.1974423E-2</v>
      </c>
      <c r="X15">
        <v>7.1863710000000004E-3</v>
      </c>
      <c r="Y15">
        <v>1.2239831E-2</v>
      </c>
      <c r="Z15">
        <v>1.4681994E-2</v>
      </c>
      <c r="AA15">
        <v>1.2940202E-2</v>
      </c>
      <c r="AB15">
        <v>1.0133469000000001E-2</v>
      </c>
      <c r="AC15">
        <v>1.7044930999999999E-2</v>
      </c>
      <c r="AD15">
        <v>1.0832688E-2</v>
      </c>
      <c r="AE15">
        <v>1.0506725999999999E-2</v>
      </c>
      <c r="AF15">
        <v>2.0000002999999999E-2</v>
      </c>
      <c r="AG15">
        <v>8.3002260000000008E-3</v>
      </c>
      <c r="AH15">
        <v>5.7266840000000001E-3</v>
      </c>
      <c r="AI15">
        <v>1.4709656999999999E-2</v>
      </c>
      <c r="AJ15">
        <v>1.1812018000000001E-2</v>
      </c>
      <c r="AK15">
        <v>1.0479732E-2</v>
      </c>
      <c r="AL15">
        <v>9.4740680000000004E-3</v>
      </c>
      <c r="AM15">
        <v>1.4532249000000001E-2</v>
      </c>
      <c r="AN15">
        <v>6.9135780000000001E-3</v>
      </c>
      <c r="AO15">
        <v>9.9745279999999999E-3</v>
      </c>
      <c r="AP15">
        <v>1.3870406E-2</v>
      </c>
      <c r="AQ15">
        <v>1.2984974E-2</v>
      </c>
      <c r="AS15">
        <v>0.04</v>
      </c>
      <c r="AT15">
        <v>14</v>
      </c>
    </row>
    <row r="16" spans="1:46" x14ac:dyDescent="0.2">
      <c r="A16">
        <v>4</v>
      </c>
      <c r="B16" t="s">
        <v>14</v>
      </c>
      <c r="C16">
        <v>68.02</v>
      </c>
      <c r="D16">
        <v>3051000</v>
      </c>
      <c r="E16" s="11">
        <v>0.13874436925511607</v>
      </c>
      <c r="F16">
        <v>24.82</v>
      </c>
      <c r="G16" s="10">
        <v>7.0000000000000007E-2</v>
      </c>
      <c r="H16" s="1">
        <f t="shared" si="0"/>
        <v>0.13588365840224464</v>
      </c>
      <c r="I16" s="5">
        <f t="shared" si="1"/>
        <v>13588365.840224465</v>
      </c>
      <c r="J16" s="6">
        <f t="shared" si="2"/>
        <v>199770.15348756933</v>
      </c>
      <c r="K16" s="4">
        <f t="shared" si="2"/>
        <v>6.5476943129324588E-2</v>
      </c>
      <c r="L16" s="1">
        <f t="shared" si="3"/>
        <v>6.1453176956619684E-2</v>
      </c>
      <c r="M16">
        <f t="shared" si="4"/>
        <v>13.207978296365164</v>
      </c>
      <c r="N16" s="5">
        <f t="shared" si="5"/>
        <v>17947.484110075453</v>
      </c>
      <c r="O16" s="3">
        <f t="shared" si="6"/>
        <v>951185.60881571262</v>
      </c>
      <c r="P16" s="5">
        <f t="shared" si="7"/>
        <v>933238.12470563722</v>
      </c>
      <c r="R16" t="s">
        <v>14</v>
      </c>
      <c r="S16">
        <v>1.0012559000000001E-2</v>
      </c>
      <c r="T16">
        <v>7.9634219999999995E-3</v>
      </c>
      <c r="U16">
        <v>1.0063574E-2</v>
      </c>
      <c r="V16">
        <v>1.1144744E-2</v>
      </c>
      <c r="W16">
        <v>9.9659359999999999E-3</v>
      </c>
      <c r="X16">
        <v>6.2104170000000002E-3</v>
      </c>
      <c r="Y16">
        <v>1.0380172E-2</v>
      </c>
      <c r="Z16">
        <v>1.296371E-2</v>
      </c>
      <c r="AA16">
        <v>1.0291391E-2</v>
      </c>
      <c r="AB16">
        <v>8.2744640000000005E-3</v>
      </c>
      <c r="AC16">
        <v>1.0821694999999999E-2</v>
      </c>
      <c r="AD16">
        <v>8.4308830000000001E-3</v>
      </c>
      <c r="AE16">
        <v>8.5083220000000005E-3</v>
      </c>
      <c r="AF16">
        <v>8.3002260000000008E-3</v>
      </c>
      <c r="AG16">
        <v>1.945115E-2</v>
      </c>
      <c r="AH16">
        <v>5.0907019999999999E-3</v>
      </c>
      <c r="AI16">
        <v>9.7652720000000002E-3</v>
      </c>
      <c r="AJ16">
        <v>9.6899499999999993E-3</v>
      </c>
      <c r="AK16">
        <v>8.2771019999999997E-3</v>
      </c>
      <c r="AL16">
        <v>7.4223680000000004E-3</v>
      </c>
      <c r="AM16">
        <v>1.1275228E-2</v>
      </c>
      <c r="AN16">
        <v>5.949635E-3</v>
      </c>
      <c r="AO16">
        <v>8.1609860000000003E-3</v>
      </c>
      <c r="AP16">
        <v>9.4538650000000005E-3</v>
      </c>
      <c r="AQ16">
        <v>9.7984189999999992E-3</v>
      </c>
      <c r="AS16">
        <v>0.04</v>
      </c>
      <c r="AT16">
        <v>15</v>
      </c>
    </row>
    <row r="17" spans="1:56" x14ac:dyDescent="0.2">
      <c r="A17">
        <v>4</v>
      </c>
      <c r="B17" t="s">
        <v>15</v>
      </c>
      <c r="C17">
        <v>111.94</v>
      </c>
      <c r="D17">
        <v>1027000</v>
      </c>
      <c r="E17" s="11">
        <v>0.13964240043768941</v>
      </c>
      <c r="F17">
        <v>23.51</v>
      </c>
      <c r="G17" s="10">
        <v>0.1</v>
      </c>
      <c r="H17" s="1">
        <f t="shared" si="0"/>
        <v>0.24999999999999997</v>
      </c>
      <c r="I17" s="5">
        <f t="shared" si="1"/>
        <v>24999999.999999996</v>
      </c>
      <c r="J17" s="6">
        <f t="shared" si="2"/>
        <v>223333.92889047702</v>
      </c>
      <c r="K17" s="4">
        <f t="shared" si="2"/>
        <v>0.21746244293133107</v>
      </c>
      <c r="L17" s="1">
        <f t="shared" si="3"/>
        <v>0.17861942616294463</v>
      </c>
      <c r="M17">
        <f t="shared" si="4"/>
        <v>40.078980579600113</v>
      </c>
      <c r="N17" s="5">
        <f t="shared" si="5"/>
        <v>100197.45144900026</v>
      </c>
      <c r="O17" s="3">
        <f t="shared" si="6"/>
        <v>2499999.9999999995</v>
      </c>
      <c r="P17" s="5">
        <f t="shared" si="7"/>
        <v>2399802.5485509993</v>
      </c>
      <c r="R17" t="s">
        <v>15</v>
      </c>
      <c r="S17">
        <v>6.8772659999999999E-3</v>
      </c>
      <c r="T17">
        <v>5.5859569999999999E-3</v>
      </c>
      <c r="U17">
        <v>7.0030630000000003E-3</v>
      </c>
      <c r="V17">
        <v>7.7264040000000001E-3</v>
      </c>
      <c r="W17">
        <v>6.9924239999999997E-3</v>
      </c>
      <c r="X17">
        <v>4.387981E-3</v>
      </c>
      <c r="Y17">
        <v>7.3234349999999997E-3</v>
      </c>
      <c r="Z17">
        <v>9.2645120000000008E-3</v>
      </c>
      <c r="AA17">
        <v>7.1744640000000002E-3</v>
      </c>
      <c r="AB17">
        <v>5.7793760000000001E-3</v>
      </c>
      <c r="AC17">
        <v>7.0277580000000003E-3</v>
      </c>
      <c r="AD17">
        <v>5.8332619999999996E-3</v>
      </c>
      <c r="AE17">
        <v>5.9317909999999996E-3</v>
      </c>
      <c r="AF17">
        <v>5.7266840000000001E-3</v>
      </c>
      <c r="AG17">
        <v>5.0907019999999999E-3</v>
      </c>
      <c r="AH17">
        <v>1.9632863E-2</v>
      </c>
      <c r="AI17">
        <v>6.4555020000000001E-3</v>
      </c>
      <c r="AJ17">
        <v>6.7679089999999999E-3</v>
      </c>
      <c r="AK17">
        <v>5.7350980000000001E-3</v>
      </c>
      <c r="AL17">
        <v>5.1714609999999996E-3</v>
      </c>
      <c r="AM17">
        <v>7.7794040000000002E-3</v>
      </c>
      <c r="AN17">
        <v>4.1828660000000004E-3</v>
      </c>
      <c r="AO17">
        <v>5.6738229999999997E-3</v>
      </c>
      <c r="AP17">
        <v>6.2902610000000001E-3</v>
      </c>
      <c r="AQ17">
        <v>6.7143009999999998E-3</v>
      </c>
      <c r="AS17">
        <v>0.04</v>
      </c>
      <c r="AT17">
        <v>16</v>
      </c>
    </row>
    <row r="18" spans="1:56" x14ac:dyDescent="0.2">
      <c r="A18">
        <v>4</v>
      </c>
      <c r="B18" t="s">
        <v>16</v>
      </c>
      <c r="C18">
        <v>47.43</v>
      </c>
      <c r="D18">
        <v>1617000</v>
      </c>
      <c r="E18" s="11">
        <v>0.21505813167606566</v>
      </c>
      <c r="F18">
        <v>22.83</v>
      </c>
      <c r="G18" s="10">
        <v>0.09</v>
      </c>
      <c r="H18" s="1">
        <f t="shared" si="0"/>
        <v>5.0000000000000001E-3</v>
      </c>
      <c r="I18" s="5">
        <f t="shared" si="1"/>
        <v>500000</v>
      </c>
      <c r="J18" s="6">
        <f t="shared" si="2"/>
        <v>10541.851149061775</v>
      </c>
      <c r="K18" s="4">
        <f t="shared" si="2"/>
        <v>6.519388465715383E-3</v>
      </c>
      <c r="L18" s="1">
        <f t="shared" si="3"/>
        <v>6.4771613348185899E-3</v>
      </c>
      <c r="M18">
        <f t="shared" si="4"/>
        <v>2.6116361488330635</v>
      </c>
      <c r="N18" s="5">
        <f t="shared" si="5"/>
        <v>130.58180744165318</v>
      </c>
      <c r="O18" s="3">
        <f t="shared" si="6"/>
        <v>45000</v>
      </c>
      <c r="P18" s="5">
        <f t="shared" si="7"/>
        <v>44869.418192558347</v>
      </c>
      <c r="R18" t="s">
        <v>16</v>
      </c>
      <c r="S18">
        <v>1.8508153999999999E-2</v>
      </c>
      <c r="T18">
        <v>1.1734583E-2</v>
      </c>
      <c r="U18">
        <v>1.6366851000000002E-2</v>
      </c>
      <c r="V18">
        <v>1.8889063000000001E-2</v>
      </c>
      <c r="W18">
        <v>1.4727825999999999E-2</v>
      </c>
      <c r="X18">
        <v>8.3743129999999995E-3</v>
      </c>
      <c r="Y18">
        <v>1.434768E-2</v>
      </c>
      <c r="Z18">
        <v>1.5050312E-2</v>
      </c>
      <c r="AA18">
        <v>1.6509431000000001E-2</v>
      </c>
      <c r="AB18">
        <v>1.2894783999999999E-2</v>
      </c>
      <c r="AC18">
        <v>3.0299209000000001E-2</v>
      </c>
      <c r="AD18">
        <v>1.4599045E-2</v>
      </c>
      <c r="AE18">
        <v>1.3540416E-2</v>
      </c>
      <c r="AF18">
        <v>1.4709656999999999E-2</v>
      </c>
      <c r="AG18">
        <v>9.7652720000000002E-3</v>
      </c>
      <c r="AH18">
        <v>6.4555020000000001E-3</v>
      </c>
      <c r="AI18">
        <v>4.6550679999999997E-2</v>
      </c>
      <c r="AJ18">
        <v>1.5074436E-2</v>
      </c>
      <c r="AK18">
        <v>1.4073456E-2</v>
      </c>
      <c r="AL18">
        <v>1.2044150999999999E-2</v>
      </c>
      <c r="AM18">
        <v>2.0018623999999999E-2</v>
      </c>
      <c r="AN18">
        <v>8.4874570000000003E-3</v>
      </c>
      <c r="AO18">
        <v>1.3274078E-2</v>
      </c>
      <c r="AP18">
        <v>2.2682687E-2</v>
      </c>
      <c r="AQ18">
        <v>1.8579155999999999E-2</v>
      </c>
      <c r="AS18">
        <v>0.04</v>
      </c>
      <c r="AT18">
        <v>17</v>
      </c>
    </row>
    <row r="19" spans="1:56" x14ac:dyDescent="0.2">
      <c r="A19">
        <v>4</v>
      </c>
      <c r="B19" t="s">
        <v>17</v>
      </c>
      <c r="C19">
        <v>62.41</v>
      </c>
      <c r="D19">
        <v>13844000</v>
      </c>
      <c r="E19" s="11">
        <v>0.18303005217723128</v>
      </c>
      <c r="F19">
        <v>25.74</v>
      </c>
      <c r="G19" s="10">
        <v>0.08</v>
      </c>
      <c r="H19" s="1">
        <f t="shared" si="0"/>
        <v>5.0000000000000001E-3</v>
      </c>
      <c r="I19" s="5">
        <f t="shared" si="1"/>
        <v>500000</v>
      </c>
      <c r="J19" s="6">
        <f t="shared" si="2"/>
        <v>8011.5366127223206</v>
      </c>
      <c r="K19" s="4">
        <f t="shared" si="2"/>
        <v>5.7870099774070508E-4</v>
      </c>
      <c r="L19" s="1">
        <f t="shared" si="3"/>
        <v>5.7836629658781016E-4</v>
      </c>
      <c r="M19">
        <f t="shared" si="4"/>
        <v>0.66312378089730528</v>
      </c>
      <c r="N19" s="5">
        <f t="shared" si="5"/>
        <v>33.156189044865265</v>
      </c>
      <c r="O19" s="3">
        <f t="shared" si="6"/>
        <v>40000</v>
      </c>
      <c r="P19" s="5">
        <f t="shared" si="7"/>
        <v>39966.843810955135</v>
      </c>
      <c r="R19" t="s">
        <v>17</v>
      </c>
      <c r="S19">
        <v>1.4267887999999999E-2</v>
      </c>
      <c r="T19">
        <v>1.083219E-2</v>
      </c>
      <c r="U19">
        <v>1.4338780000000001E-2</v>
      </c>
      <c r="V19">
        <v>1.6081899E-2</v>
      </c>
      <c r="W19">
        <v>1.3914826999999999E-2</v>
      </c>
      <c r="X19">
        <v>8.4597860000000004E-3</v>
      </c>
      <c r="Y19">
        <v>1.4501042E-2</v>
      </c>
      <c r="Z19">
        <v>1.8300312999999999E-2</v>
      </c>
      <c r="AA19">
        <v>1.5031246999999999E-2</v>
      </c>
      <c r="AB19">
        <v>1.1635776E-2</v>
      </c>
      <c r="AC19">
        <v>1.6720395999999998E-2</v>
      </c>
      <c r="AD19">
        <v>1.225651E-2</v>
      </c>
      <c r="AE19">
        <v>1.2014726E-2</v>
      </c>
      <c r="AF19">
        <v>1.1812018000000001E-2</v>
      </c>
      <c r="AG19">
        <v>9.6899499999999993E-3</v>
      </c>
      <c r="AH19">
        <v>6.7679089999999999E-3</v>
      </c>
      <c r="AI19">
        <v>1.5074436E-2</v>
      </c>
      <c r="AJ19">
        <v>3.3584850999999999E-2</v>
      </c>
      <c r="AK19">
        <v>1.1799504000000001E-2</v>
      </c>
      <c r="AL19">
        <v>1.1111434999999999E-2</v>
      </c>
      <c r="AM19">
        <v>1.6211475999999999E-2</v>
      </c>
      <c r="AN19">
        <v>7.9022469999999994E-3</v>
      </c>
      <c r="AO19">
        <v>1.1098227E-2</v>
      </c>
      <c r="AP19">
        <v>1.4304641999999999E-2</v>
      </c>
      <c r="AQ19">
        <v>1.4276027E-2</v>
      </c>
      <c r="AS19">
        <v>0.04</v>
      </c>
      <c r="AT19">
        <v>18</v>
      </c>
    </row>
    <row r="20" spans="1:56" x14ac:dyDescent="0.2">
      <c r="A20">
        <v>4</v>
      </c>
      <c r="B20" t="s">
        <v>18</v>
      </c>
      <c r="C20">
        <v>95.52</v>
      </c>
      <c r="D20">
        <v>1635000</v>
      </c>
      <c r="E20" s="11">
        <v>0.18641351882307247</v>
      </c>
      <c r="F20">
        <v>24.21</v>
      </c>
      <c r="G20" s="10">
        <v>0.14000000000000001</v>
      </c>
      <c r="H20" s="1">
        <f t="shared" si="0"/>
        <v>6.6978774660488405E-2</v>
      </c>
      <c r="I20" s="5">
        <f t="shared" si="1"/>
        <v>6697877.4660488404</v>
      </c>
      <c r="J20" s="6">
        <f t="shared" si="2"/>
        <v>70120.157726641963</v>
      </c>
      <c r="K20" s="4">
        <f t="shared" si="2"/>
        <v>4.2886946621799364E-2</v>
      </c>
      <c r="L20" s="1">
        <f t="shared" si="3"/>
        <v>4.1123294102704135E-2</v>
      </c>
      <c r="M20">
        <f t="shared" si="4"/>
        <v>10.645686278381588</v>
      </c>
      <c r="N20" s="5">
        <f t="shared" si="5"/>
        <v>7130.3502234597381</v>
      </c>
      <c r="O20" s="3">
        <f t="shared" si="6"/>
        <v>937702.84524683771</v>
      </c>
      <c r="P20" s="5">
        <f t="shared" si="7"/>
        <v>930572.49502337794</v>
      </c>
      <c r="R20" t="s">
        <v>18</v>
      </c>
      <c r="S20">
        <v>1.2694359000000001E-2</v>
      </c>
      <c r="T20">
        <v>9.3394289999999998E-3</v>
      </c>
      <c r="U20">
        <v>1.2672320000000001E-2</v>
      </c>
      <c r="V20">
        <v>1.4315746000000001E-2</v>
      </c>
      <c r="W20">
        <v>1.2137656E-2</v>
      </c>
      <c r="X20">
        <v>7.2692859999999998E-3</v>
      </c>
      <c r="Y20">
        <v>1.2614465E-2</v>
      </c>
      <c r="Z20">
        <v>1.5883161999999999E-2</v>
      </c>
      <c r="AA20">
        <v>1.3410089E-2</v>
      </c>
      <c r="AB20">
        <v>1.020601E-2</v>
      </c>
      <c r="AC20">
        <v>1.5732393000000001E-2</v>
      </c>
      <c r="AD20">
        <v>1.0954731000000001E-2</v>
      </c>
      <c r="AE20">
        <v>1.0567653E-2</v>
      </c>
      <c r="AF20">
        <v>1.0479732E-2</v>
      </c>
      <c r="AG20">
        <v>8.2771019999999997E-3</v>
      </c>
      <c r="AH20">
        <v>5.7350980000000001E-3</v>
      </c>
      <c r="AI20">
        <v>1.4073456E-2</v>
      </c>
      <c r="AJ20">
        <v>1.1799504000000001E-2</v>
      </c>
      <c r="AK20">
        <v>3.5015797000000001E-2</v>
      </c>
      <c r="AL20">
        <v>1.0014810000000001E-2</v>
      </c>
      <c r="AM20">
        <v>1.4444339E-2</v>
      </c>
      <c r="AN20">
        <v>6.7289020000000001E-3</v>
      </c>
      <c r="AO20">
        <v>9.6149249999999999E-3</v>
      </c>
      <c r="AP20">
        <v>1.3223132E-2</v>
      </c>
      <c r="AQ20">
        <v>1.2831832E-2</v>
      </c>
      <c r="AS20">
        <v>0.04</v>
      </c>
      <c r="AT20">
        <v>19</v>
      </c>
    </row>
    <row r="21" spans="1:56" x14ac:dyDescent="0.2">
      <c r="A21">
        <v>4</v>
      </c>
      <c r="B21" t="s">
        <v>19</v>
      </c>
      <c r="C21">
        <v>742.23</v>
      </c>
      <c r="D21">
        <v>463000</v>
      </c>
      <c r="E21" s="11">
        <v>0.26972207918522356</v>
      </c>
      <c r="F21">
        <v>23.61</v>
      </c>
      <c r="G21" s="10">
        <v>0.15</v>
      </c>
      <c r="H21" s="1">
        <f t="shared" si="0"/>
        <v>3.9822816788284851E-2</v>
      </c>
      <c r="I21" s="5">
        <f t="shared" si="1"/>
        <v>3982281.6788284853</v>
      </c>
      <c r="J21" s="6">
        <f t="shared" si="2"/>
        <v>5365.2933441500418</v>
      </c>
      <c r="K21" s="4">
        <f t="shared" si="2"/>
        <v>1.1588106574838103E-2</v>
      </c>
      <c r="L21" s="1">
        <f t="shared" si="3"/>
        <v>1.1455360634947133E-2</v>
      </c>
      <c r="M21">
        <f t="shared" si="4"/>
        <v>4.4576526093279281</v>
      </c>
      <c r="N21" s="5">
        <f t="shared" si="5"/>
        <v>1775.16283167086</v>
      </c>
      <c r="O21" s="3">
        <f t="shared" si="6"/>
        <v>597342.2518242728</v>
      </c>
      <c r="P21" s="5">
        <f t="shared" si="7"/>
        <v>595567.08899260196</v>
      </c>
      <c r="R21" t="s">
        <v>19</v>
      </c>
      <c r="S21">
        <v>1.0947798E-2</v>
      </c>
      <c r="T21">
        <v>8.1760359999999994E-3</v>
      </c>
      <c r="U21">
        <v>1.2705374E-2</v>
      </c>
      <c r="V21">
        <v>1.4592612E-2</v>
      </c>
      <c r="W21">
        <v>1.2159328E-2</v>
      </c>
      <c r="X21">
        <v>7.0373629999999996E-3</v>
      </c>
      <c r="Y21">
        <v>1.3467321000000001E-2</v>
      </c>
      <c r="Z21">
        <v>2.0053793E-2</v>
      </c>
      <c r="AA21">
        <v>1.5177207999999999E-2</v>
      </c>
      <c r="AB21">
        <v>1.0036688E-2</v>
      </c>
      <c r="AC21">
        <v>1.1049302E-2</v>
      </c>
      <c r="AD21">
        <v>1.1297681E-2</v>
      </c>
      <c r="AE21">
        <v>1.0378722E-2</v>
      </c>
      <c r="AF21">
        <v>9.4740680000000004E-3</v>
      </c>
      <c r="AG21">
        <v>7.4223680000000004E-3</v>
      </c>
      <c r="AH21">
        <v>5.1714609999999996E-3</v>
      </c>
      <c r="AI21">
        <v>1.2044150999999999E-2</v>
      </c>
      <c r="AJ21">
        <v>1.1111434999999999E-2</v>
      </c>
      <c r="AK21">
        <v>1.0014810000000001E-2</v>
      </c>
      <c r="AL21">
        <v>7.3253047000000002E-2</v>
      </c>
      <c r="AM21">
        <v>1.3747206999999999E-2</v>
      </c>
      <c r="AN21">
        <v>5.280791E-3</v>
      </c>
      <c r="AO21">
        <v>7.4083389999999999E-3</v>
      </c>
      <c r="AP21">
        <v>1.0900241999999999E-2</v>
      </c>
      <c r="AQ21">
        <v>1.2067761E-2</v>
      </c>
      <c r="AS21">
        <v>0.04</v>
      </c>
      <c r="AT21">
        <v>20</v>
      </c>
    </row>
    <row r="22" spans="1:56" x14ac:dyDescent="0.2">
      <c r="A22">
        <v>4</v>
      </c>
      <c r="B22" t="s">
        <v>20</v>
      </c>
      <c r="C22">
        <v>128.54</v>
      </c>
      <c r="D22">
        <v>1495000</v>
      </c>
      <c r="E22" s="11">
        <v>0.20615528128088303</v>
      </c>
      <c r="F22">
        <v>23.59</v>
      </c>
      <c r="G22" s="10">
        <v>0.1</v>
      </c>
      <c r="H22" s="1">
        <f t="shared" si="0"/>
        <v>5.0000000000000001E-3</v>
      </c>
      <c r="I22" s="5">
        <f t="shared" si="1"/>
        <v>500000</v>
      </c>
      <c r="J22" s="6">
        <f t="shared" si="2"/>
        <v>3889.83973860277</v>
      </c>
      <c r="K22" s="4">
        <f t="shared" si="2"/>
        <v>2.6018994907041938E-3</v>
      </c>
      <c r="L22" s="1">
        <f t="shared" si="3"/>
        <v>2.5951471785819391E-3</v>
      </c>
      <c r="M22">
        <f t="shared" si="4"/>
        <v>1.4601561874853903</v>
      </c>
      <c r="N22" s="5">
        <f t="shared" si="5"/>
        <v>73.007809374269513</v>
      </c>
      <c r="O22" s="3">
        <f t="shared" si="6"/>
        <v>50000</v>
      </c>
      <c r="P22" s="5">
        <f t="shared" si="7"/>
        <v>49926.99219062573</v>
      </c>
      <c r="R22" t="s">
        <v>20</v>
      </c>
      <c r="S22">
        <v>1.7665538000000001E-2</v>
      </c>
      <c r="T22">
        <v>1.2795332E-2</v>
      </c>
      <c r="U22">
        <v>1.7448405E-2</v>
      </c>
      <c r="V22">
        <v>1.9760361000000001E-2</v>
      </c>
      <c r="W22">
        <v>1.6608996000000001E-2</v>
      </c>
      <c r="X22">
        <v>9.892863E-3</v>
      </c>
      <c r="Y22">
        <v>1.7177246E-2</v>
      </c>
      <c r="Z22">
        <v>2.137505E-2</v>
      </c>
      <c r="AA22">
        <v>1.841775E-2</v>
      </c>
      <c r="AB22">
        <v>1.4016733999999999E-2</v>
      </c>
      <c r="AC22">
        <v>2.2632334E-2</v>
      </c>
      <c r="AD22">
        <v>1.5139929E-2</v>
      </c>
      <c r="AE22">
        <v>1.4533574E-2</v>
      </c>
      <c r="AF22">
        <v>1.4532249000000001E-2</v>
      </c>
      <c r="AG22">
        <v>1.1275228E-2</v>
      </c>
      <c r="AH22">
        <v>7.7794040000000002E-3</v>
      </c>
      <c r="AI22">
        <v>2.0018623999999999E-2</v>
      </c>
      <c r="AJ22">
        <v>1.6211475999999999E-2</v>
      </c>
      <c r="AK22">
        <v>1.4444339E-2</v>
      </c>
      <c r="AL22">
        <v>1.3747206999999999E-2</v>
      </c>
      <c r="AM22">
        <v>4.2639700000000003E-2</v>
      </c>
      <c r="AN22">
        <v>9.2077789999999993E-3</v>
      </c>
      <c r="AO22">
        <v>1.3278181E-2</v>
      </c>
      <c r="AP22">
        <v>1.8758911E-2</v>
      </c>
      <c r="AQ22">
        <v>1.7866788000000002E-2</v>
      </c>
      <c r="AS22">
        <v>0.04</v>
      </c>
      <c r="AT22">
        <v>21</v>
      </c>
    </row>
    <row r="23" spans="1:56" x14ac:dyDescent="0.2">
      <c r="A23">
        <v>4</v>
      </c>
      <c r="B23" t="s">
        <v>21</v>
      </c>
      <c r="C23">
        <v>33.97</v>
      </c>
      <c r="D23">
        <v>2609000</v>
      </c>
      <c r="E23" s="11">
        <v>0.16658331248957681</v>
      </c>
      <c r="F23">
        <v>23</v>
      </c>
      <c r="G23" s="10">
        <v>0.08</v>
      </c>
      <c r="H23" s="1">
        <f t="shared" si="0"/>
        <v>0.13328767929681926</v>
      </c>
      <c r="I23" s="5">
        <f t="shared" si="1"/>
        <v>13328767.929681925</v>
      </c>
      <c r="J23" s="6">
        <f t="shared" si="2"/>
        <v>392368.79392646236</v>
      </c>
      <c r="K23" s="4">
        <f t="shared" si="2"/>
        <v>0.15039049211439723</v>
      </c>
      <c r="L23" s="1">
        <f t="shared" si="3"/>
        <v>0.13072995052139399</v>
      </c>
      <c r="M23">
        <f t="shared" si="4"/>
        <v>31.601427630603908</v>
      </c>
      <c r="N23" s="5">
        <f t="shared" si="5"/>
        <v>42120.809513495762</v>
      </c>
      <c r="O23" s="3">
        <f t="shared" si="6"/>
        <v>1066301.4343745541</v>
      </c>
      <c r="P23" s="5">
        <f t="shared" si="7"/>
        <v>1024180.6248610583</v>
      </c>
      <c r="R23" t="s">
        <v>21</v>
      </c>
      <c r="S23">
        <v>8.4996010000000007E-3</v>
      </c>
      <c r="T23">
        <v>6.6481750000000001E-3</v>
      </c>
      <c r="U23">
        <v>8.0126929999999996E-3</v>
      </c>
      <c r="V23">
        <v>8.8200180000000006E-3</v>
      </c>
      <c r="W23">
        <v>7.913359E-3</v>
      </c>
      <c r="X23">
        <v>4.9855979999999999E-3</v>
      </c>
      <c r="Y23">
        <v>7.9968969999999993E-3</v>
      </c>
      <c r="Z23">
        <v>9.0834869999999995E-3</v>
      </c>
      <c r="AA23">
        <v>7.7125079999999999E-3</v>
      </c>
      <c r="AB23">
        <v>6.6329930000000002E-3</v>
      </c>
      <c r="AC23">
        <v>1.0128401E-2</v>
      </c>
      <c r="AD23">
        <v>6.6406089999999996E-3</v>
      </c>
      <c r="AE23">
        <v>6.8292259999999999E-3</v>
      </c>
      <c r="AF23">
        <v>6.9135780000000001E-3</v>
      </c>
      <c r="AG23">
        <v>5.949635E-3</v>
      </c>
      <c r="AH23">
        <v>4.1828660000000004E-3</v>
      </c>
      <c r="AI23">
        <v>8.4874570000000003E-3</v>
      </c>
      <c r="AJ23">
        <v>7.9022469999999994E-3</v>
      </c>
      <c r="AK23">
        <v>6.7289020000000001E-3</v>
      </c>
      <c r="AL23">
        <v>5.280791E-3</v>
      </c>
      <c r="AM23">
        <v>9.2077789999999993E-3</v>
      </c>
      <c r="AN23">
        <v>2.7936107000000002E-2</v>
      </c>
      <c r="AO23">
        <v>7.1134869999999999E-3</v>
      </c>
      <c r="AP23">
        <v>8.2977439999999993E-3</v>
      </c>
      <c r="AQ23">
        <v>8.0650670000000004E-3</v>
      </c>
      <c r="AS23">
        <v>0.04</v>
      </c>
      <c r="AT23">
        <v>22</v>
      </c>
    </row>
    <row r="24" spans="1:56" x14ac:dyDescent="0.2">
      <c r="A24">
        <v>4</v>
      </c>
      <c r="B24" t="s">
        <v>22</v>
      </c>
      <c r="C24">
        <v>19.09</v>
      </c>
      <c r="D24">
        <v>3888000</v>
      </c>
      <c r="E24" s="11">
        <v>0.18371173070873836</v>
      </c>
      <c r="F24">
        <v>22.72</v>
      </c>
      <c r="G24" s="10">
        <v>7.0000000000000007E-2</v>
      </c>
      <c r="H24" s="1">
        <f t="shared" si="0"/>
        <v>2.99798720286454E-2</v>
      </c>
      <c r="I24" s="5">
        <f t="shared" si="1"/>
        <v>2997987.2028645398</v>
      </c>
      <c r="J24" s="6">
        <f t="shared" si="2"/>
        <v>157044.90324067784</v>
      </c>
      <c r="K24" s="4">
        <f t="shared" si="2"/>
        <v>4.0392207623631132E-2</v>
      </c>
      <c r="L24" s="1">
        <f t="shared" si="3"/>
        <v>3.8824019756829323E-2</v>
      </c>
      <c r="M24">
        <f t="shared" si="4"/>
        <v>10.010560443034686</v>
      </c>
      <c r="N24" s="5">
        <f t="shared" si="5"/>
        <v>3001.1532101719968</v>
      </c>
      <c r="O24" s="3">
        <f t="shared" si="6"/>
        <v>209859.10420051782</v>
      </c>
      <c r="P24" s="5">
        <f t="shared" si="7"/>
        <v>206857.95099034582</v>
      </c>
      <c r="R24" t="s">
        <v>22</v>
      </c>
      <c r="S24">
        <v>1.2379060000000001E-2</v>
      </c>
      <c r="T24">
        <v>9.2613230000000001E-3</v>
      </c>
      <c r="U24">
        <v>1.1332904E-2</v>
      </c>
      <c r="V24">
        <v>1.2576311999999999E-2</v>
      </c>
      <c r="W24">
        <v>1.0984291E-2</v>
      </c>
      <c r="X24">
        <v>6.8147720000000002E-3</v>
      </c>
      <c r="Y24">
        <v>1.0933399E-2</v>
      </c>
      <c r="Z24">
        <v>1.1895149000000001E-2</v>
      </c>
      <c r="AA24">
        <v>1.0833048E-2</v>
      </c>
      <c r="AB24">
        <v>9.3072239999999994E-3</v>
      </c>
      <c r="AC24">
        <v>1.6230772000000001E-2</v>
      </c>
      <c r="AD24">
        <v>9.5093629999999998E-3</v>
      </c>
      <c r="AE24">
        <v>9.6226279999999994E-3</v>
      </c>
      <c r="AF24">
        <v>9.9745279999999999E-3</v>
      </c>
      <c r="AG24">
        <v>8.1609860000000003E-3</v>
      </c>
      <c r="AH24">
        <v>5.6738229999999997E-3</v>
      </c>
      <c r="AI24">
        <v>1.3274078E-2</v>
      </c>
      <c r="AJ24">
        <v>1.1098227E-2</v>
      </c>
      <c r="AK24">
        <v>9.6149249999999999E-3</v>
      </c>
      <c r="AL24">
        <v>7.4083389999999999E-3</v>
      </c>
      <c r="AM24">
        <v>1.3278181E-2</v>
      </c>
      <c r="AN24">
        <v>7.1134869999999999E-3</v>
      </c>
      <c r="AO24">
        <v>3.3945712000000003E-2</v>
      </c>
      <c r="AP24">
        <v>1.2823510999999999E-2</v>
      </c>
      <c r="AQ24">
        <v>1.1798995E-2</v>
      </c>
      <c r="AS24">
        <v>0.04</v>
      </c>
      <c r="AT24">
        <v>23</v>
      </c>
    </row>
    <row r="25" spans="1:56" x14ac:dyDescent="0.2">
      <c r="A25">
        <v>4</v>
      </c>
      <c r="B25" t="s">
        <v>23</v>
      </c>
      <c r="C25">
        <v>16.510000000000002</v>
      </c>
      <c r="D25">
        <v>2941000</v>
      </c>
      <c r="E25" s="11">
        <v>0.32365104665364514</v>
      </c>
      <c r="F25">
        <v>21.27</v>
      </c>
      <c r="G25" s="10">
        <v>0.14000000000000001</v>
      </c>
      <c r="H25" s="1">
        <f t="shared" si="0"/>
        <v>5.0000000000000001E-3</v>
      </c>
      <c r="I25" s="5">
        <f t="shared" si="1"/>
        <v>500000</v>
      </c>
      <c r="J25" s="6">
        <f t="shared" si="2"/>
        <v>30284.675953967289</v>
      </c>
      <c r="K25" s="4">
        <f t="shared" si="2"/>
        <v>1.0297407668809006E-2</v>
      </c>
      <c r="L25" s="1">
        <f t="shared" si="3"/>
        <v>1.0192451837097711E-2</v>
      </c>
      <c r="M25">
        <f t="shared" si="4"/>
        <v>4.5295211146959371</v>
      </c>
      <c r="N25" s="5">
        <f t="shared" si="5"/>
        <v>226.47605573479686</v>
      </c>
      <c r="O25" s="3">
        <f t="shared" si="6"/>
        <v>70000</v>
      </c>
      <c r="P25" s="5">
        <f t="shared" si="7"/>
        <v>69773.523944265209</v>
      </c>
      <c r="R25" t="s">
        <v>23</v>
      </c>
      <c r="S25">
        <v>1.7480347E-2</v>
      </c>
      <c r="T25">
        <v>1.1295690000000001E-2</v>
      </c>
      <c r="U25">
        <v>1.5340001000000001E-2</v>
      </c>
      <c r="V25">
        <v>1.7604024999999999E-2</v>
      </c>
      <c r="W25">
        <v>1.391967E-2</v>
      </c>
      <c r="X25">
        <v>8.0249989999999997E-3</v>
      </c>
      <c r="Y25">
        <v>1.3502448E-2</v>
      </c>
      <c r="Z25">
        <v>1.3863851999999999E-2</v>
      </c>
      <c r="AA25">
        <v>1.5194439000000001E-2</v>
      </c>
      <c r="AB25">
        <v>1.2162709000000001E-2</v>
      </c>
      <c r="AC25">
        <v>2.8228306000000002E-2</v>
      </c>
      <c r="AD25">
        <v>1.3560801000000001E-2</v>
      </c>
      <c r="AE25">
        <v>1.2750897000000001E-2</v>
      </c>
      <c r="AF25">
        <v>1.3870406E-2</v>
      </c>
      <c r="AG25">
        <v>9.4538650000000005E-3</v>
      </c>
      <c r="AH25">
        <v>6.2902610000000001E-3</v>
      </c>
      <c r="AI25">
        <v>2.2682687E-2</v>
      </c>
      <c r="AJ25">
        <v>1.4304641999999999E-2</v>
      </c>
      <c r="AK25">
        <v>1.3223132E-2</v>
      </c>
      <c r="AL25">
        <v>1.0900241999999999E-2</v>
      </c>
      <c r="AM25">
        <v>1.8758911E-2</v>
      </c>
      <c r="AN25">
        <v>8.2977439999999993E-3</v>
      </c>
      <c r="AO25">
        <v>1.2823510999999999E-2</v>
      </c>
      <c r="AP25">
        <v>0.105444634</v>
      </c>
      <c r="AQ25">
        <v>1.734629E-2</v>
      </c>
      <c r="AS25">
        <v>0.04</v>
      </c>
      <c r="AT25">
        <v>24</v>
      </c>
    </row>
    <row r="26" spans="1:56" x14ac:dyDescent="0.2">
      <c r="A26">
        <v>4</v>
      </c>
      <c r="B26" t="s">
        <v>24</v>
      </c>
      <c r="C26">
        <v>80.900000000000006</v>
      </c>
      <c r="D26">
        <v>2915000</v>
      </c>
      <c r="E26" s="11">
        <v>0.19429359227725448</v>
      </c>
      <c r="F26">
        <v>24.48</v>
      </c>
      <c r="G26" s="10">
        <v>0.14000000000000001</v>
      </c>
      <c r="H26" s="1">
        <f t="shared" si="0"/>
        <v>5.0000000000000001E-3</v>
      </c>
      <c r="I26" s="5">
        <f t="shared" si="1"/>
        <v>500000</v>
      </c>
      <c r="J26" s="6">
        <f t="shared" si="2"/>
        <v>6180.469715698393</v>
      </c>
      <c r="K26" s="4">
        <f t="shared" si="2"/>
        <v>2.1202297480955035E-3</v>
      </c>
      <c r="L26" s="1">
        <f t="shared" si="3"/>
        <v>2.1157438849712363E-3</v>
      </c>
      <c r="M26">
        <f t="shared" si="4"/>
        <v>1.2644601403472306</v>
      </c>
      <c r="N26" s="5">
        <f t="shared" si="5"/>
        <v>63.223007017361532</v>
      </c>
      <c r="O26" s="3">
        <f>G26*I26</f>
        <v>70000</v>
      </c>
      <c r="P26" s="5">
        <f t="shared" si="7"/>
        <v>69936.776992982632</v>
      </c>
      <c r="R26" t="s">
        <v>24</v>
      </c>
      <c r="S26">
        <v>1.5873594000000001E-2</v>
      </c>
      <c r="T26">
        <v>1.1222357000000001E-2</v>
      </c>
      <c r="U26">
        <v>1.5411647000000001E-2</v>
      </c>
      <c r="V26">
        <v>1.7519578000000001E-2</v>
      </c>
      <c r="W26">
        <v>1.4528236999999999E-2</v>
      </c>
      <c r="X26">
        <v>8.5800809999999998E-3</v>
      </c>
      <c r="Y26">
        <v>1.4902575E-2</v>
      </c>
      <c r="Z26">
        <v>1.8169238000000001E-2</v>
      </c>
      <c r="AA26">
        <v>1.6191100999999999E-2</v>
      </c>
      <c r="AB26">
        <v>1.2332696000000001E-2</v>
      </c>
      <c r="AC26">
        <v>2.1360833999999999E-2</v>
      </c>
      <c r="AD26">
        <v>1.3448009E-2</v>
      </c>
      <c r="AE26">
        <v>1.281536E-2</v>
      </c>
      <c r="AF26">
        <v>1.2984974E-2</v>
      </c>
      <c r="AG26">
        <v>9.7984189999999992E-3</v>
      </c>
      <c r="AH26">
        <v>6.7143009999999998E-3</v>
      </c>
      <c r="AI26">
        <v>1.8579155999999999E-2</v>
      </c>
      <c r="AJ26">
        <v>1.4276027E-2</v>
      </c>
      <c r="AK26">
        <v>1.2831832E-2</v>
      </c>
      <c r="AL26">
        <v>1.2067761E-2</v>
      </c>
      <c r="AM26">
        <v>1.7866788000000002E-2</v>
      </c>
      <c r="AN26">
        <v>8.0650670000000004E-3</v>
      </c>
      <c r="AO26">
        <v>1.1798995E-2</v>
      </c>
      <c r="AP26">
        <v>1.734629E-2</v>
      </c>
      <c r="AQ26">
        <v>3.8025820000000002E-2</v>
      </c>
      <c r="AS26">
        <v>0.04</v>
      </c>
      <c r="AT26">
        <v>25</v>
      </c>
    </row>
    <row r="27" spans="1:56" x14ac:dyDescent="0.2">
      <c r="A27" t="s">
        <v>58</v>
      </c>
      <c r="C27">
        <f>SUM(C2:C26)</f>
        <v>2426.0100000000002</v>
      </c>
      <c r="D27">
        <f t="shared" ref="D27:G27" si="8">SUM(D2:D26)</f>
        <v>87705000</v>
      </c>
      <c r="E27" s="11">
        <f t="shared" si="8"/>
        <v>5.3882867844687157</v>
      </c>
      <c r="F27">
        <f t="shared" si="8"/>
        <v>591.57999999999993</v>
      </c>
      <c r="G27">
        <f t="shared" si="8"/>
        <v>2.9200000000000008</v>
      </c>
      <c r="H27" s="1">
        <f t="shared" si="0"/>
        <v>1.0000000000105738</v>
      </c>
      <c r="I27" s="5">
        <f t="shared" si="1"/>
        <v>100000000.00105737</v>
      </c>
      <c r="J27" s="6">
        <f t="shared" ref="J27:P27" si="9">SUM(J2:J26)</f>
        <v>1559980.6663153798</v>
      </c>
      <c r="K27" s="8">
        <f t="shared" si="9"/>
        <v>0.76696210319392932</v>
      </c>
      <c r="L27" s="1">
        <f t="shared" si="9"/>
        <v>0.69333500142254301</v>
      </c>
      <c r="M27">
        <f t="shared" si="9"/>
        <v>183.59820201269667</v>
      </c>
      <c r="N27" s="5">
        <f>SUM(N2:N26)</f>
        <v>200551.73441630075</v>
      </c>
      <c r="O27" s="3">
        <f>SUM(O2:O26)</f>
        <v>9999386.7615716085</v>
      </c>
      <c r="P27" s="5">
        <f t="shared" si="9"/>
        <v>9798835.0271553081</v>
      </c>
    </row>
    <row r="28" spans="1:56" x14ac:dyDescent="0.2">
      <c r="O28" s="1">
        <f>O27/I27</f>
        <v>9.9993867614658782E-2</v>
      </c>
      <c r="P28" s="1">
        <f>P27/I27</f>
        <v>9.7988350270516986E-2</v>
      </c>
      <c r="T28" t="s">
        <v>25</v>
      </c>
      <c r="U28" t="s">
        <v>26</v>
      </c>
      <c r="V28" t="s">
        <v>27</v>
      </c>
      <c r="AF28">
        <v>1</v>
      </c>
      <c r="AG28">
        <v>2</v>
      </c>
      <c r="AH28">
        <v>3</v>
      </c>
      <c r="AI28">
        <v>4</v>
      </c>
      <c r="AJ28">
        <v>5</v>
      </c>
      <c r="AK28">
        <v>6</v>
      </c>
      <c r="AL28">
        <v>7</v>
      </c>
      <c r="AM28">
        <v>8</v>
      </c>
      <c r="AN28">
        <v>9</v>
      </c>
      <c r="AO28">
        <v>10</v>
      </c>
      <c r="AP28">
        <v>11</v>
      </c>
      <c r="AQ28">
        <v>12</v>
      </c>
      <c r="AR28">
        <v>13</v>
      </c>
      <c r="AS28">
        <v>14</v>
      </c>
      <c r="AT28">
        <v>15</v>
      </c>
      <c r="AU28">
        <v>16</v>
      </c>
      <c r="AV28">
        <v>17</v>
      </c>
      <c r="AW28">
        <v>18</v>
      </c>
      <c r="AX28">
        <v>19</v>
      </c>
      <c r="AY28">
        <v>20</v>
      </c>
      <c r="AZ28">
        <v>21</v>
      </c>
      <c r="BA28">
        <v>22</v>
      </c>
      <c r="BB28">
        <v>23</v>
      </c>
      <c r="BC28">
        <v>24</v>
      </c>
      <c r="BD28">
        <v>25</v>
      </c>
    </row>
    <row r="29" spans="1:56" x14ac:dyDescent="0.2">
      <c r="A29" t="s">
        <v>41</v>
      </c>
      <c r="B29" s="3">
        <v>100000000</v>
      </c>
      <c r="D29" t="s">
        <v>36</v>
      </c>
      <c r="E29" s="12">
        <v>706.28378945135796</v>
      </c>
      <c r="N29" t="s">
        <v>59</v>
      </c>
      <c r="O29" s="1">
        <f>P28-O28</f>
        <v>-2.0055173441417967E-3</v>
      </c>
      <c r="S29">
        <v>1</v>
      </c>
      <c r="T29" s="1">
        <v>5.0000000000000001E-3</v>
      </c>
      <c r="U29" s="1">
        <v>5.0000000000000001E-3</v>
      </c>
      <c r="V29" s="2">
        <v>0.25</v>
      </c>
      <c r="Y29" t="s">
        <v>28</v>
      </c>
      <c r="Z29" s="11">
        <f>AA29^2</f>
        <v>8.2985667914773422E-5</v>
      </c>
      <c r="AA29" s="11">
        <f>MMULT(AF29:BD29,MMULT(S2:AQ26,T29:T53))</f>
        <v>9.1096469698212466E-3</v>
      </c>
      <c r="AC29">
        <v>0.14000000000000001</v>
      </c>
      <c r="AE29" t="s">
        <v>30</v>
      </c>
      <c r="AF29">
        <f>T29</f>
        <v>5.0000000000000001E-3</v>
      </c>
      <c r="AG29">
        <f>T30</f>
        <v>4.3108075804597822E-2</v>
      </c>
      <c r="AH29">
        <f>T31</f>
        <v>5.0000000000000001E-3</v>
      </c>
      <c r="AI29">
        <f>T32</f>
        <v>5.0000000000000001E-3</v>
      </c>
      <c r="AJ29">
        <f>T33</f>
        <v>5.0000000000000001E-3</v>
      </c>
      <c r="AK29">
        <f>T34</f>
        <v>0.11800301940043566</v>
      </c>
      <c r="AL29">
        <f>T35</f>
        <v>5.0000000000000001E-3</v>
      </c>
      <c r="AM29">
        <f>T36</f>
        <v>5.0000000000000001E-3</v>
      </c>
      <c r="AN29">
        <f>T37</f>
        <v>5.0000000000000001E-3</v>
      </c>
      <c r="AO29">
        <f>T38</f>
        <v>2.7034088361790241E-2</v>
      </c>
      <c r="AP29">
        <f>T39</f>
        <v>5.0000000000000001E-3</v>
      </c>
      <c r="AQ29">
        <f>T40</f>
        <v>4.4953138035638489E-2</v>
      </c>
      <c r="AR29">
        <f>T41</f>
        <v>3.2186401199302023E-2</v>
      </c>
      <c r="AS29">
        <f>T42</f>
        <v>1.376247603232713E-2</v>
      </c>
      <c r="AT29">
        <f>T43</f>
        <v>0.13588365840224464</v>
      </c>
      <c r="AU29">
        <f>T44</f>
        <v>0.24999999999999997</v>
      </c>
      <c r="AV29">
        <f>T45</f>
        <v>5.0000000000000001E-3</v>
      </c>
      <c r="AW29">
        <f>T46</f>
        <v>5.0000000000000001E-3</v>
      </c>
      <c r="AX29">
        <f>T47</f>
        <v>6.6978774660488405E-2</v>
      </c>
      <c r="AY29">
        <f>T48</f>
        <v>3.9822816788284851E-2</v>
      </c>
      <c r="AZ29">
        <f>T49</f>
        <v>5.0000000000000001E-3</v>
      </c>
      <c r="BA29">
        <f>T50</f>
        <v>0.13328767929681926</v>
      </c>
      <c r="BB29">
        <f>T51</f>
        <v>2.99798720286454E-2</v>
      </c>
      <c r="BC29">
        <f>T52</f>
        <v>5.0000000000000001E-3</v>
      </c>
      <c r="BD29">
        <f>T53</f>
        <v>5.0000000000000001E-3</v>
      </c>
    </row>
    <row r="30" spans="1:56" x14ac:dyDescent="0.2">
      <c r="B30" s="1"/>
      <c r="D30" t="s">
        <v>37</v>
      </c>
      <c r="E30" s="12">
        <v>0.34305784856765498</v>
      </c>
      <c r="S30">
        <v>2</v>
      </c>
      <c r="T30" s="1">
        <v>4.3108075804597822E-2</v>
      </c>
      <c r="U30" s="1">
        <v>5.0000000000000001E-3</v>
      </c>
      <c r="V30" s="2">
        <v>0.25</v>
      </c>
      <c r="Y30" t="s">
        <v>31</v>
      </c>
      <c r="Z30" s="14">
        <f>SQRT(AA29)</f>
        <v>9.5444470608942275E-2</v>
      </c>
      <c r="AA30" s="11"/>
      <c r="AC30">
        <v>0.1</v>
      </c>
    </row>
    <row r="31" spans="1:56" x14ac:dyDescent="0.2">
      <c r="B31" s="11"/>
      <c r="D31" t="s">
        <v>38</v>
      </c>
      <c r="E31" s="12">
        <v>0.56587621757055095</v>
      </c>
      <c r="S31">
        <v>3</v>
      </c>
      <c r="T31" s="1">
        <v>5.0000000000000001E-3</v>
      </c>
      <c r="U31" s="1">
        <v>5.0000000000000001E-3</v>
      </c>
      <c r="V31" s="2">
        <v>0.25</v>
      </c>
      <c r="Y31" t="s">
        <v>32</v>
      </c>
      <c r="Z31" s="14">
        <f>SUMPRODUCT(T29:T53,AC29:AC53)</f>
        <v>9.9993867615716117E-2</v>
      </c>
      <c r="AA31" s="11"/>
      <c r="AC31">
        <v>0.14000000000000001</v>
      </c>
    </row>
    <row r="32" spans="1:56" x14ac:dyDescent="0.2">
      <c r="B32" s="1"/>
      <c r="D32" t="s">
        <v>39</v>
      </c>
      <c r="E32" s="12">
        <v>0.75754853087902696</v>
      </c>
      <c r="S32">
        <v>4</v>
      </c>
      <c r="T32" s="1">
        <v>5.0000000000000001E-3</v>
      </c>
      <c r="U32" s="1">
        <v>5.0000000000000001E-3</v>
      </c>
      <c r="V32" s="2">
        <v>0.25</v>
      </c>
      <c r="Y32" t="s">
        <v>70</v>
      </c>
      <c r="Z32" s="14">
        <f>P28</f>
        <v>9.7988350270516986E-2</v>
      </c>
      <c r="AA32" s="11"/>
      <c r="AC32">
        <v>0.12</v>
      </c>
    </row>
    <row r="33" spans="2:29" x14ac:dyDescent="0.2">
      <c r="D33" t="s">
        <v>40</v>
      </c>
      <c r="E33" s="12">
        <v>0.97175923281984999</v>
      </c>
      <c r="S33">
        <v>5</v>
      </c>
      <c r="T33" s="1">
        <v>5.0000000000000001E-3</v>
      </c>
      <c r="U33" s="1">
        <v>5.0000000000000001E-3</v>
      </c>
      <c r="V33" s="2">
        <v>0.25</v>
      </c>
      <c r="Y33" t="s">
        <v>72</v>
      </c>
      <c r="Z33">
        <f>M27</f>
        <v>183.59820201269667</v>
      </c>
      <c r="AC33">
        <v>0.1</v>
      </c>
    </row>
    <row r="34" spans="2:29" x14ac:dyDescent="0.2">
      <c r="B34" s="11"/>
      <c r="S34">
        <v>6</v>
      </c>
      <c r="T34" s="1">
        <v>0.11800301940043566</v>
      </c>
      <c r="U34" s="1">
        <v>5.0000000000000001E-3</v>
      </c>
      <c r="V34" s="2">
        <v>0.25</v>
      </c>
      <c r="Y34" t="s">
        <v>71</v>
      </c>
      <c r="Z34" s="11">
        <f>'A1'!Z30</f>
        <v>9.5444375164505518E-2</v>
      </c>
      <c r="AC34">
        <v>0.08</v>
      </c>
    </row>
    <row r="35" spans="2:29" x14ac:dyDescent="0.2">
      <c r="S35">
        <v>7</v>
      </c>
      <c r="T35" s="1">
        <v>5.0000000000000001E-3</v>
      </c>
      <c r="U35" s="1">
        <v>5.0000000000000001E-3</v>
      </c>
      <c r="V35" s="2">
        <v>0.25</v>
      </c>
      <c r="AC35">
        <v>0.09</v>
      </c>
    </row>
    <row r="36" spans="2:29" x14ac:dyDescent="0.2">
      <c r="S36">
        <v>8</v>
      </c>
      <c r="T36" s="1">
        <v>5.0000000000000001E-3</v>
      </c>
      <c r="U36" s="1">
        <v>5.0000000000000001E-3</v>
      </c>
      <c r="V36" s="2">
        <v>0.25</v>
      </c>
      <c r="AC36">
        <v>0.17</v>
      </c>
    </row>
    <row r="37" spans="2:29" x14ac:dyDescent="0.2">
      <c r="B37" s="1"/>
      <c r="C37" s="1"/>
      <c r="S37">
        <v>9</v>
      </c>
      <c r="T37" s="1">
        <v>5.0000000000000001E-3</v>
      </c>
      <c r="U37" s="1">
        <v>5.0000000000000001E-3</v>
      </c>
      <c r="V37" s="2">
        <v>0.25</v>
      </c>
      <c r="AC37">
        <v>0.14000000000000001</v>
      </c>
    </row>
    <row r="38" spans="2:29" x14ac:dyDescent="0.2">
      <c r="B38" s="1"/>
      <c r="C38" s="1"/>
      <c r="S38">
        <v>10</v>
      </c>
      <c r="T38" s="1">
        <v>2.7034088361790241E-2</v>
      </c>
      <c r="U38" s="1">
        <v>5.0000000000000001E-3</v>
      </c>
      <c r="V38" s="2">
        <v>0.25</v>
      </c>
      <c r="AC38">
        <v>0.12</v>
      </c>
    </row>
    <row r="39" spans="2:29" x14ac:dyDescent="0.2">
      <c r="B39" s="1"/>
      <c r="C39" s="1"/>
      <c r="S39">
        <v>11</v>
      </c>
      <c r="T39" s="1">
        <v>5.0000000000000001E-3</v>
      </c>
      <c r="U39" s="1">
        <v>5.0000000000000001E-3</v>
      </c>
      <c r="V39" s="2">
        <v>0.25</v>
      </c>
      <c r="AC39">
        <v>0.21</v>
      </c>
    </row>
    <row r="40" spans="2:29" x14ac:dyDescent="0.2">
      <c r="B40" s="1"/>
      <c r="C40" s="1"/>
      <c r="S40">
        <v>12</v>
      </c>
      <c r="T40" s="1">
        <v>4.4953138035638489E-2</v>
      </c>
      <c r="U40" s="1">
        <v>5.0000000000000001E-3</v>
      </c>
      <c r="V40" s="2">
        <v>0.25</v>
      </c>
      <c r="AC40">
        <v>0.15</v>
      </c>
    </row>
    <row r="41" spans="2:29" x14ac:dyDescent="0.2">
      <c r="B41" s="1"/>
      <c r="C41" s="1"/>
      <c r="S41">
        <v>13</v>
      </c>
      <c r="T41" s="1">
        <v>3.2186401199302023E-2</v>
      </c>
      <c r="U41" s="1">
        <v>5.0000000000000001E-3</v>
      </c>
      <c r="V41" s="2">
        <v>0.25</v>
      </c>
      <c r="AC41">
        <v>0.14000000000000001</v>
      </c>
    </row>
    <row r="42" spans="2:29" x14ac:dyDescent="0.2">
      <c r="B42" s="1"/>
      <c r="C42" s="1"/>
      <c r="S42">
        <v>14</v>
      </c>
      <c r="T42" s="1">
        <v>1.376247603232713E-2</v>
      </c>
      <c r="U42" s="1">
        <v>5.0000000000000001E-3</v>
      </c>
      <c r="V42" s="2">
        <v>0.25</v>
      </c>
      <c r="AC42">
        <v>0.06</v>
      </c>
    </row>
    <row r="43" spans="2:29" x14ac:dyDescent="0.2">
      <c r="B43" s="1"/>
      <c r="C43" s="1"/>
      <c r="S43">
        <v>15</v>
      </c>
      <c r="T43" s="1">
        <v>0.13588365840224464</v>
      </c>
      <c r="U43" s="1">
        <v>5.0000000000000001E-3</v>
      </c>
      <c r="V43" s="2">
        <v>0.25</v>
      </c>
      <c r="AC43">
        <v>7.0000000000000007E-2</v>
      </c>
    </row>
    <row r="44" spans="2:29" x14ac:dyDescent="0.2">
      <c r="B44" s="1"/>
      <c r="C44" s="1"/>
      <c r="S44">
        <v>16</v>
      </c>
      <c r="T44" s="1">
        <v>0.24999999999999997</v>
      </c>
      <c r="U44" s="1">
        <v>5.0000000000000001E-3</v>
      </c>
      <c r="V44" s="2">
        <v>0.25</v>
      </c>
      <c r="AC44">
        <v>0.1</v>
      </c>
    </row>
    <row r="45" spans="2:29" x14ac:dyDescent="0.2">
      <c r="B45" s="1"/>
      <c r="C45" s="1"/>
      <c r="S45">
        <v>17</v>
      </c>
      <c r="T45" s="1">
        <v>5.0000000000000001E-3</v>
      </c>
      <c r="U45" s="1">
        <v>5.0000000000000001E-3</v>
      </c>
      <c r="V45" s="2">
        <v>0.25</v>
      </c>
      <c r="AC45">
        <v>0.09</v>
      </c>
    </row>
    <row r="46" spans="2:29" x14ac:dyDescent="0.2">
      <c r="B46" s="1"/>
      <c r="C46" s="1"/>
      <c r="S46">
        <v>18</v>
      </c>
      <c r="T46" s="1">
        <v>5.0000000000000001E-3</v>
      </c>
      <c r="U46" s="1">
        <v>5.0000000000000001E-3</v>
      </c>
      <c r="V46" s="2">
        <v>0.25</v>
      </c>
      <c r="AC46">
        <v>0.08</v>
      </c>
    </row>
    <row r="47" spans="2:29" x14ac:dyDescent="0.2">
      <c r="B47" s="1"/>
      <c r="C47" s="1"/>
      <c r="S47">
        <v>19</v>
      </c>
      <c r="T47" s="1">
        <v>6.6978774660488405E-2</v>
      </c>
      <c r="U47" s="1">
        <v>5.0000000000000001E-3</v>
      </c>
      <c r="V47" s="2">
        <v>0.25</v>
      </c>
      <c r="AC47">
        <v>0.14000000000000001</v>
      </c>
    </row>
    <row r="48" spans="2:29" x14ac:dyDescent="0.2">
      <c r="B48" s="2"/>
      <c r="S48">
        <v>20</v>
      </c>
      <c r="T48" s="1">
        <v>3.9822816788284851E-2</v>
      </c>
      <c r="U48" s="1">
        <v>5.0000000000000001E-3</v>
      </c>
      <c r="V48" s="2">
        <v>0.25</v>
      </c>
      <c r="AC48">
        <v>0.15</v>
      </c>
    </row>
    <row r="49" spans="19:29" x14ac:dyDescent="0.2">
      <c r="S49">
        <v>21</v>
      </c>
      <c r="T49" s="1">
        <v>5.0000000000000001E-3</v>
      </c>
      <c r="U49" s="1">
        <v>5.0000000000000001E-3</v>
      </c>
      <c r="V49" s="2">
        <v>0.25</v>
      </c>
      <c r="AC49">
        <v>0.1</v>
      </c>
    </row>
    <row r="50" spans="19:29" x14ac:dyDescent="0.2">
      <c r="S50">
        <v>22</v>
      </c>
      <c r="T50" s="1">
        <v>0.13328767929681926</v>
      </c>
      <c r="U50" s="1">
        <v>5.0000000000000001E-3</v>
      </c>
      <c r="V50" s="2">
        <v>0.25</v>
      </c>
      <c r="AC50">
        <v>0.08</v>
      </c>
    </row>
    <row r="51" spans="19:29" x14ac:dyDescent="0.2">
      <c r="S51">
        <v>23</v>
      </c>
      <c r="T51" s="1">
        <v>2.99798720286454E-2</v>
      </c>
      <c r="U51" s="1">
        <v>5.0000000000000001E-3</v>
      </c>
      <c r="V51" s="2">
        <v>0.25</v>
      </c>
      <c r="AC51">
        <v>7.0000000000000007E-2</v>
      </c>
    </row>
    <row r="52" spans="19:29" x14ac:dyDescent="0.2">
      <c r="S52">
        <v>24</v>
      </c>
      <c r="T52" s="1">
        <v>5.0000000000000001E-3</v>
      </c>
      <c r="U52" s="1">
        <v>5.0000000000000001E-3</v>
      </c>
      <c r="V52" s="2">
        <v>0.25</v>
      </c>
      <c r="AC52">
        <v>0.14000000000000001</v>
      </c>
    </row>
    <row r="53" spans="19:29" x14ac:dyDescent="0.2">
      <c r="S53">
        <v>25</v>
      </c>
      <c r="T53" s="1">
        <v>5.0000000000000001E-3</v>
      </c>
      <c r="U53" s="1">
        <v>5.0000000000000001E-3</v>
      </c>
      <c r="V53" s="2">
        <v>0.25</v>
      </c>
      <c r="AC53">
        <v>0.14000000000000001</v>
      </c>
    </row>
    <row r="54" spans="19:29" x14ac:dyDescent="0.2">
      <c r="S54" t="s">
        <v>35</v>
      </c>
      <c r="T54">
        <f>SUM(T29:T53)</f>
        <v>1.0000000000105738</v>
      </c>
      <c r="U54">
        <v>1</v>
      </c>
    </row>
  </sheetData>
  <phoneticPr fontId="1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D54"/>
  <sheetViews>
    <sheetView topLeftCell="I23" workbookViewId="0">
      <selection activeCell="M27" sqref="M27"/>
    </sheetView>
  </sheetViews>
  <sheetFormatPr defaultRowHeight="14.25" x14ac:dyDescent="0.2"/>
  <cols>
    <col min="2" max="2" width="13" bestFit="1" customWidth="1"/>
    <col min="5" max="5" width="21.5" bestFit="1" customWidth="1"/>
    <col min="7" max="7" width="10.875" bestFit="1" customWidth="1"/>
    <col min="9" max="9" width="15.125" bestFit="1" customWidth="1"/>
    <col min="10" max="10" width="11.875" customWidth="1"/>
    <col min="14" max="14" width="15.5" bestFit="1" customWidth="1"/>
    <col min="15" max="15" width="11.875" bestFit="1" customWidth="1"/>
    <col min="16" max="16" width="13.5" bestFit="1" customWidth="1"/>
  </cols>
  <sheetData>
    <row r="1" spans="1:56" s="7" customFormat="1" x14ac:dyDescent="0.2">
      <c r="A1" s="7" t="s">
        <v>43</v>
      </c>
      <c r="B1" s="7" t="s">
        <v>44</v>
      </c>
      <c r="C1" s="7" t="s">
        <v>45</v>
      </c>
      <c r="D1" s="7" t="s">
        <v>46</v>
      </c>
      <c r="E1" s="7" t="s">
        <v>47</v>
      </c>
      <c r="F1" s="7" t="s">
        <v>48</v>
      </c>
      <c r="G1" s="7" t="s">
        <v>49</v>
      </c>
      <c r="H1" s="7" t="s">
        <v>57</v>
      </c>
      <c r="I1" s="7" t="s">
        <v>56</v>
      </c>
      <c r="J1" s="7" t="s">
        <v>55</v>
      </c>
      <c r="K1" s="7" t="s">
        <v>50</v>
      </c>
      <c r="L1" s="7" t="s">
        <v>42</v>
      </c>
      <c r="M1" s="7" t="s">
        <v>51</v>
      </c>
      <c r="N1" s="7" t="s">
        <v>52</v>
      </c>
      <c r="O1" s="7" t="s">
        <v>53</v>
      </c>
      <c r="P1" s="7" t="s">
        <v>54</v>
      </c>
      <c r="R1"/>
      <c r="S1" t="s">
        <v>0</v>
      </c>
      <c r="T1" t="s">
        <v>1</v>
      </c>
      <c r="U1" t="s">
        <v>2</v>
      </c>
      <c r="V1" t="s">
        <v>3</v>
      </c>
      <c r="W1" t="s">
        <v>4</v>
      </c>
      <c r="X1" t="s">
        <v>5</v>
      </c>
      <c r="Y1" t="s">
        <v>6</v>
      </c>
      <c r="Z1" t="s">
        <v>7</v>
      </c>
      <c r="AA1" t="s">
        <v>8</v>
      </c>
      <c r="AB1" t="s">
        <v>9</v>
      </c>
      <c r="AC1" t="s">
        <v>10</v>
      </c>
      <c r="AD1" t="s">
        <v>11</v>
      </c>
      <c r="AE1" t="s">
        <v>12</v>
      </c>
      <c r="AF1" t="s">
        <v>13</v>
      </c>
      <c r="AG1" t="s">
        <v>14</v>
      </c>
      <c r="AH1" t="s">
        <v>15</v>
      </c>
      <c r="AI1" t="s">
        <v>16</v>
      </c>
      <c r="AJ1" t="s">
        <v>17</v>
      </c>
      <c r="AK1" t="s">
        <v>18</v>
      </c>
      <c r="AL1" t="s">
        <v>19</v>
      </c>
      <c r="AM1" t="s">
        <v>20</v>
      </c>
      <c r="AN1" t="s">
        <v>21</v>
      </c>
      <c r="AO1" t="s">
        <v>22</v>
      </c>
      <c r="AP1" t="s">
        <v>23</v>
      </c>
      <c r="AQ1" t="s">
        <v>24</v>
      </c>
      <c r="AR1"/>
      <c r="AS1"/>
      <c r="AT1"/>
      <c r="AU1"/>
      <c r="AV1"/>
      <c r="AW1"/>
      <c r="AX1"/>
      <c r="AY1"/>
      <c r="AZ1"/>
      <c r="BA1"/>
      <c r="BB1"/>
      <c r="BC1"/>
      <c r="BD1"/>
    </row>
    <row r="2" spans="1:56" x14ac:dyDescent="0.2">
      <c r="A2">
        <v>4</v>
      </c>
      <c r="B2" t="s">
        <v>0</v>
      </c>
      <c r="C2">
        <v>78.63</v>
      </c>
      <c r="D2">
        <v>5224000</v>
      </c>
      <c r="E2" s="11">
        <v>0.20124611797498107</v>
      </c>
      <c r="F2">
        <v>24.49</v>
      </c>
      <c r="G2">
        <v>0.14000000000000001</v>
      </c>
      <c r="H2" s="1">
        <f>T29</f>
        <v>5.0000000000000001E-3</v>
      </c>
      <c r="I2" s="5">
        <f>ABS(H2*$B$29)</f>
        <v>2500000</v>
      </c>
      <c r="J2" s="6">
        <f>I2/C2</f>
        <v>31794.480478188987</v>
      </c>
      <c r="K2" s="4">
        <f>J2/D2</f>
        <v>6.0862328633593012E-3</v>
      </c>
      <c r="L2" s="1">
        <f>K2/(1+K2)</f>
        <v>6.0494147167063934E-3</v>
      </c>
      <c r="M2">
        <f>$E$29*(K2^$E$30)*(E2^$E$31)*($E$33*(L2^$E$32)+(1-$E$33))</f>
        <v>2.4033619015302228</v>
      </c>
      <c r="N2" s="5">
        <f>M2/10000*I2</f>
        <v>600.84047538255572</v>
      </c>
      <c r="O2" s="3">
        <f>G2*I2</f>
        <v>350000.00000000006</v>
      </c>
      <c r="P2" s="5">
        <f>O2-N2</f>
        <v>349399.15952461748</v>
      </c>
      <c r="R2" t="s">
        <v>0</v>
      </c>
      <c r="S2">
        <v>4.0836718000000001E-2</v>
      </c>
      <c r="T2">
        <v>1.1484558000000001E-2</v>
      </c>
      <c r="U2">
        <v>1.5073507999999999E-2</v>
      </c>
      <c r="V2">
        <v>1.7006291E-2</v>
      </c>
      <c r="W2">
        <v>1.4288515999999999E-2</v>
      </c>
      <c r="X2">
        <v>8.5739309999999999E-3</v>
      </c>
      <c r="Y2">
        <v>1.4396213E-2</v>
      </c>
      <c r="Z2">
        <v>1.6525015000000001E-2</v>
      </c>
      <c r="AA2">
        <v>1.5196238000000001E-2</v>
      </c>
      <c r="AB2">
        <v>1.2164378E-2</v>
      </c>
      <c r="AC2">
        <v>2.2022389E-2</v>
      </c>
      <c r="AD2">
        <v>1.2989624999999999E-2</v>
      </c>
      <c r="AE2">
        <v>1.2630687E-2</v>
      </c>
      <c r="AF2">
        <v>1.3026874000000001E-2</v>
      </c>
      <c r="AG2">
        <v>1.0012559000000001E-2</v>
      </c>
      <c r="AH2">
        <v>6.8772659999999999E-3</v>
      </c>
      <c r="AI2">
        <v>1.8508153999999999E-2</v>
      </c>
      <c r="AJ2">
        <v>1.4267887999999999E-2</v>
      </c>
      <c r="AK2">
        <v>1.2694359000000001E-2</v>
      </c>
      <c r="AL2">
        <v>1.0947798E-2</v>
      </c>
      <c r="AM2">
        <v>1.7665538000000001E-2</v>
      </c>
      <c r="AN2">
        <v>8.4996010000000007E-3</v>
      </c>
      <c r="AO2">
        <v>1.2379060000000001E-2</v>
      </c>
      <c r="AP2">
        <v>1.7480347E-2</v>
      </c>
      <c r="AQ2">
        <v>1.5873594000000001E-2</v>
      </c>
      <c r="AS2">
        <v>0.04</v>
      </c>
      <c r="AT2">
        <v>1</v>
      </c>
    </row>
    <row r="3" spans="1:56" x14ac:dyDescent="0.2">
      <c r="A3">
        <v>4</v>
      </c>
      <c r="B3" t="s">
        <v>1</v>
      </c>
      <c r="C3">
        <v>124.33</v>
      </c>
      <c r="D3">
        <v>1223000</v>
      </c>
      <c r="E3" s="11">
        <v>0.20676073128135333</v>
      </c>
      <c r="F3">
        <v>24.12</v>
      </c>
      <c r="G3">
        <v>0.1</v>
      </c>
      <c r="H3" s="1">
        <f t="shared" ref="H3:H26" si="0">T30</f>
        <v>4.4092552361167485E-2</v>
      </c>
      <c r="I3" s="5">
        <f t="shared" ref="I3:I27" si="1">ABS(H3*$B$29)</f>
        <v>22046276.180583742</v>
      </c>
      <c r="J3" s="6">
        <f t="shared" ref="J3:J26" si="2">I3/C3</f>
        <v>177320.64811858555</v>
      </c>
      <c r="K3" s="4">
        <f t="shared" ref="K3:K26" si="3">J3/D3</f>
        <v>0.144988265019285</v>
      </c>
      <c r="L3" s="1">
        <f t="shared" ref="L3:L26" si="4">K3/(1+K3)</f>
        <v>0.12662860349651089</v>
      </c>
      <c r="M3">
        <f t="shared" ref="M3:M26" si="5">$E$29*(K3^$E$30)*(E3^$E$31)*($E$33*(L3^$E$32)+(1-$E$33))</f>
        <v>34.525188356971157</v>
      </c>
      <c r="N3" s="5">
        <f t="shared" ref="N3:N26" si="6">M3/10000*I3</f>
        <v>76115.183770446034</v>
      </c>
      <c r="O3" s="3">
        <f t="shared" ref="O3:O25" si="7">G3*I3</f>
        <v>2204627.6180583742</v>
      </c>
      <c r="P3" s="5">
        <f t="shared" ref="P3:P25" si="8">O3-N3</f>
        <v>2128512.434287928</v>
      </c>
      <c r="R3" t="s">
        <v>1</v>
      </c>
      <c r="S3">
        <v>1.1484558000000001E-2</v>
      </c>
      <c r="T3">
        <v>4.2999701000000001E-2</v>
      </c>
      <c r="U3">
        <v>1.1263903E-2</v>
      </c>
      <c r="V3">
        <v>1.2521071999999999E-2</v>
      </c>
      <c r="W3">
        <v>1.1037646999999999E-2</v>
      </c>
      <c r="X3">
        <v>6.8283659999999998E-3</v>
      </c>
      <c r="Y3">
        <v>1.1370447000000001E-2</v>
      </c>
      <c r="Z3">
        <v>1.379623E-2</v>
      </c>
      <c r="AA3">
        <v>1.1402361E-2</v>
      </c>
      <c r="AB3">
        <v>9.2278780000000001E-3</v>
      </c>
      <c r="AC3">
        <v>1.3389317E-2</v>
      </c>
      <c r="AD3">
        <v>9.4890830000000006E-3</v>
      </c>
      <c r="AE3">
        <v>9.5118640000000001E-3</v>
      </c>
      <c r="AF3">
        <v>9.4450660000000002E-3</v>
      </c>
      <c r="AG3">
        <v>7.9634219999999995E-3</v>
      </c>
      <c r="AH3">
        <v>5.5859569999999999E-3</v>
      </c>
      <c r="AI3">
        <v>1.1734583E-2</v>
      </c>
      <c r="AJ3">
        <v>1.083219E-2</v>
      </c>
      <c r="AK3">
        <v>9.3394289999999998E-3</v>
      </c>
      <c r="AL3">
        <v>8.1760359999999994E-3</v>
      </c>
      <c r="AM3">
        <v>1.2795332E-2</v>
      </c>
      <c r="AN3">
        <v>6.6481750000000001E-3</v>
      </c>
      <c r="AO3">
        <v>9.2613230000000001E-3</v>
      </c>
      <c r="AP3">
        <v>1.1295690000000001E-2</v>
      </c>
      <c r="AQ3">
        <v>1.1222357000000001E-2</v>
      </c>
      <c r="AS3">
        <v>0.04</v>
      </c>
      <c r="AT3">
        <v>2</v>
      </c>
    </row>
    <row r="4" spans="1:56" x14ac:dyDescent="0.2">
      <c r="A4">
        <v>4</v>
      </c>
      <c r="B4" t="s">
        <v>2</v>
      </c>
      <c r="C4">
        <v>37.97</v>
      </c>
      <c r="D4">
        <v>2061000</v>
      </c>
      <c r="E4" s="11">
        <v>0.21035683967962629</v>
      </c>
      <c r="F4">
        <v>23.24</v>
      </c>
      <c r="G4">
        <v>0.14000000000000001</v>
      </c>
      <c r="H4" s="1">
        <f t="shared" si="0"/>
        <v>5.0000000000000001E-3</v>
      </c>
      <c r="I4" s="5">
        <f t="shared" si="1"/>
        <v>2500000</v>
      </c>
      <c r="J4" s="6">
        <f t="shared" si="2"/>
        <v>65841.453779299452</v>
      </c>
      <c r="K4" s="4">
        <f t="shared" si="3"/>
        <v>3.1946362823531999E-2</v>
      </c>
      <c r="L4" s="1">
        <f t="shared" si="4"/>
        <v>3.0957386909260313E-2</v>
      </c>
      <c r="M4">
        <f t="shared" si="5"/>
        <v>8.7996749141412192</v>
      </c>
      <c r="N4" s="5">
        <f t="shared" si="6"/>
        <v>2199.9187285353046</v>
      </c>
      <c r="O4" s="3">
        <f t="shared" si="7"/>
        <v>350000.00000000006</v>
      </c>
      <c r="P4" s="5">
        <f t="shared" si="8"/>
        <v>347800.08127146476</v>
      </c>
      <c r="R4" t="s">
        <v>2</v>
      </c>
      <c r="S4">
        <v>1.5073507999999999E-2</v>
      </c>
      <c r="T4">
        <v>1.1263903E-2</v>
      </c>
      <c r="U4">
        <v>4.4410461999999998E-2</v>
      </c>
      <c r="V4">
        <v>1.7529769000000001E-2</v>
      </c>
      <c r="W4">
        <v>1.4933154000000001E-2</v>
      </c>
      <c r="X4">
        <v>8.9398870000000005E-3</v>
      </c>
      <c r="Y4">
        <v>1.5734531999999999E-2</v>
      </c>
      <c r="Z4">
        <v>2.0566745000000001E-2</v>
      </c>
      <c r="AA4">
        <v>1.6765188E-2</v>
      </c>
      <c r="AB4">
        <v>1.2484011999999999E-2</v>
      </c>
      <c r="AC4">
        <v>1.7664776E-2</v>
      </c>
      <c r="AD4">
        <v>1.3423829999999999E-2</v>
      </c>
      <c r="AE4">
        <v>1.2908685E-2</v>
      </c>
      <c r="AF4">
        <v>1.2562039000000001E-2</v>
      </c>
      <c r="AG4">
        <v>1.0063574E-2</v>
      </c>
      <c r="AH4">
        <v>7.0030630000000003E-3</v>
      </c>
      <c r="AI4">
        <v>1.6366851000000002E-2</v>
      </c>
      <c r="AJ4">
        <v>1.4338780000000001E-2</v>
      </c>
      <c r="AK4">
        <v>1.2672320000000001E-2</v>
      </c>
      <c r="AL4">
        <v>1.2705374E-2</v>
      </c>
      <c r="AM4">
        <v>1.7448405E-2</v>
      </c>
      <c r="AN4">
        <v>8.0126929999999996E-3</v>
      </c>
      <c r="AO4">
        <v>1.1332904E-2</v>
      </c>
      <c r="AP4">
        <v>1.5340001000000001E-2</v>
      </c>
      <c r="AQ4">
        <v>1.5411647000000001E-2</v>
      </c>
      <c r="AS4">
        <v>0.04</v>
      </c>
      <c r="AT4">
        <v>3</v>
      </c>
    </row>
    <row r="5" spans="1:56" x14ac:dyDescent="0.2">
      <c r="A5">
        <v>4</v>
      </c>
      <c r="B5" t="s">
        <v>3</v>
      </c>
      <c r="C5">
        <v>53.28</v>
      </c>
      <c r="D5">
        <v>6561000</v>
      </c>
      <c r="E5" s="11">
        <v>0.22135943621178655</v>
      </c>
      <c r="F5">
        <v>23.9</v>
      </c>
      <c r="G5">
        <v>0.12</v>
      </c>
      <c r="H5" s="1">
        <f t="shared" si="0"/>
        <v>5.0000000000000001E-3</v>
      </c>
      <c r="I5" s="5">
        <f t="shared" si="1"/>
        <v>2500000</v>
      </c>
      <c r="J5" s="6">
        <f t="shared" si="2"/>
        <v>46921.921921921923</v>
      </c>
      <c r="K5" s="4">
        <f t="shared" si="3"/>
        <v>7.1516418109925199E-3</v>
      </c>
      <c r="L5" s="1">
        <f t="shared" si="4"/>
        <v>7.1008590107969416E-3</v>
      </c>
      <c r="M5">
        <f t="shared" si="5"/>
        <v>2.8254278920534652</v>
      </c>
      <c r="N5" s="5">
        <f t="shared" si="6"/>
        <v>706.35697301336631</v>
      </c>
      <c r="O5" s="3">
        <f t="shared" si="7"/>
        <v>300000</v>
      </c>
      <c r="P5" s="5">
        <f t="shared" si="8"/>
        <v>299293.64302698663</v>
      </c>
      <c r="R5" t="s">
        <v>3</v>
      </c>
      <c r="S5">
        <v>1.7006291E-2</v>
      </c>
      <c r="T5">
        <v>1.2521071999999999E-2</v>
      </c>
      <c r="U5">
        <v>1.7529769000000001E-2</v>
      </c>
      <c r="V5">
        <v>4.9189314999999997E-2</v>
      </c>
      <c r="W5">
        <v>1.6771273999999999E-2</v>
      </c>
      <c r="X5">
        <v>9.9560359999999997E-3</v>
      </c>
      <c r="Y5">
        <v>1.7689013E-2</v>
      </c>
      <c r="Z5">
        <v>2.3247451999999998E-2</v>
      </c>
      <c r="AA5">
        <v>1.9109977E-2</v>
      </c>
      <c r="AB5">
        <v>1.4048568000000001E-2</v>
      </c>
      <c r="AC5">
        <v>2.0364139E-2</v>
      </c>
      <c r="AD5">
        <v>1.52652E-2</v>
      </c>
      <c r="AE5">
        <v>1.4544969E-2</v>
      </c>
      <c r="AF5">
        <v>1.4174340000000001E-2</v>
      </c>
      <c r="AG5">
        <v>1.1144744E-2</v>
      </c>
      <c r="AH5">
        <v>7.7264040000000001E-3</v>
      </c>
      <c r="AI5">
        <v>1.8889063000000001E-2</v>
      </c>
      <c r="AJ5">
        <v>1.6081899E-2</v>
      </c>
      <c r="AK5">
        <v>1.4315746000000001E-2</v>
      </c>
      <c r="AL5">
        <v>1.4592612E-2</v>
      </c>
      <c r="AM5">
        <v>1.9760361000000001E-2</v>
      </c>
      <c r="AN5">
        <v>8.8200180000000006E-3</v>
      </c>
      <c r="AO5">
        <v>1.2576311999999999E-2</v>
      </c>
      <c r="AP5">
        <v>1.7604024999999999E-2</v>
      </c>
      <c r="AQ5">
        <v>1.7519578000000001E-2</v>
      </c>
      <c r="AS5">
        <v>0.04</v>
      </c>
      <c r="AT5">
        <v>4</v>
      </c>
    </row>
    <row r="6" spans="1:56" x14ac:dyDescent="0.2">
      <c r="A6">
        <v>4</v>
      </c>
      <c r="B6" t="s">
        <v>4</v>
      </c>
      <c r="C6">
        <v>50.8</v>
      </c>
      <c r="D6">
        <v>2210000</v>
      </c>
      <c r="E6" s="11">
        <v>0.20371548787463364</v>
      </c>
      <c r="F6">
        <v>23.17</v>
      </c>
      <c r="G6">
        <v>0.1</v>
      </c>
      <c r="H6" s="1">
        <f t="shared" si="0"/>
        <v>5.0000000000000001E-3</v>
      </c>
      <c r="I6" s="5">
        <f t="shared" si="1"/>
        <v>2500000</v>
      </c>
      <c r="J6" s="6">
        <f t="shared" si="2"/>
        <v>49212.598425196855</v>
      </c>
      <c r="K6" s="4">
        <f t="shared" si="3"/>
        <v>2.2268144083799481E-2</v>
      </c>
      <c r="L6" s="1">
        <f t="shared" si="4"/>
        <v>2.1783075421720342E-2</v>
      </c>
      <c r="M6">
        <f t="shared" si="5"/>
        <v>6.364062883065384</v>
      </c>
      <c r="N6" s="5">
        <f t="shared" si="6"/>
        <v>1591.015720766346</v>
      </c>
      <c r="O6" s="3">
        <f t="shared" si="7"/>
        <v>250000</v>
      </c>
      <c r="P6" s="5">
        <f t="shared" si="8"/>
        <v>248408.98427923364</v>
      </c>
      <c r="R6" t="s">
        <v>4</v>
      </c>
      <c r="S6">
        <v>1.4288515999999999E-2</v>
      </c>
      <c r="T6">
        <v>1.1037646999999999E-2</v>
      </c>
      <c r="U6">
        <v>1.4933154000000001E-2</v>
      </c>
      <c r="V6">
        <v>1.6771273999999999E-2</v>
      </c>
      <c r="W6">
        <v>4.1702840999999997E-2</v>
      </c>
      <c r="X6">
        <v>8.8337369999999995E-3</v>
      </c>
      <c r="Y6">
        <v>1.5441902E-2</v>
      </c>
      <c r="Z6">
        <v>2.0427667E-2</v>
      </c>
      <c r="AA6">
        <v>1.6111365999999998E-2</v>
      </c>
      <c r="AB6">
        <v>1.2096318999999999E-2</v>
      </c>
      <c r="AC6">
        <v>1.5552655E-2</v>
      </c>
      <c r="AD6">
        <v>1.2800272999999999E-2</v>
      </c>
      <c r="AE6">
        <v>1.2472197000000001E-2</v>
      </c>
      <c r="AF6">
        <v>1.1974423E-2</v>
      </c>
      <c r="AG6">
        <v>9.9659359999999999E-3</v>
      </c>
      <c r="AH6">
        <v>6.9924239999999997E-3</v>
      </c>
      <c r="AI6">
        <v>1.4727825999999999E-2</v>
      </c>
      <c r="AJ6">
        <v>1.3914826999999999E-2</v>
      </c>
      <c r="AK6">
        <v>1.2137656E-2</v>
      </c>
      <c r="AL6">
        <v>1.2159328E-2</v>
      </c>
      <c r="AM6">
        <v>1.6608996000000001E-2</v>
      </c>
      <c r="AN6">
        <v>7.913359E-3</v>
      </c>
      <c r="AO6">
        <v>1.0984291E-2</v>
      </c>
      <c r="AP6">
        <v>1.391967E-2</v>
      </c>
      <c r="AQ6">
        <v>1.4528236999999999E-2</v>
      </c>
      <c r="AS6">
        <v>0.04</v>
      </c>
      <c r="AT6">
        <v>5</v>
      </c>
    </row>
    <row r="7" spans="1:56" x14ac:dyDescent="0.2">
      <c r="A7">
        <v>4</v>
      </c>
      <c r="B7" t="s">
        <v>5</v>
      </c>
      <c r="C7">
        <v>81.91</v>
      </c>
      <c r="D7">
        <v>2550000</v>
      </c>
      <c r="E7" s="11">
        <v>0.16881943016134132</v>
      </c>
      <c r="F7">
        <v>24.09</v>
      </c>
      <c r="G7">
        <v>0.08</v>
      </c>
      <c r="H7" s="1">
        <f t="shared" si="0"/>
        <v>0.11813869976784686</v>
      </c>
      <c r="I7" s="5">
        <f t="shared" si="1"/>
        <v>59069349.883923426</v>
      </c>
      <c r="J7" s="6">
        <f t="shared" si="2"/>
        <v>721149.43088662473</v>
      </c>
      <c r="K7" s="4">
        <f t="shared" si="3"/>
        <v>0.28280369838691166</v>
      </c>
      <c r="L7" s="1">
        <f t="shared" si="4"/>
        <v>0.22045750159788988</v>
      </c>
      <c r="M7">
        <f t="shared" si="5"/>
        <v>56.453275775112232</v>
      </c>
      <c r="N7" s="5">
        <f t="shared" si="6"/>
        <v>333465.82988537231</v>
      </c>
      <c r="O7" s="3">
        <f t="shared" si="7"/>
        <v>4725547.9907138739</v>
      </c>
      <c r="P7" s="5">
        <f t="shared" si="8"/>
        <v>4392082.1608285019</v>
      </c>
      <c r="R7" t="s">
        <v>5</v>
      </c>
      <c r="S7">
        <v>8.5739309999999999E-3</v>
      </c>
      <c r="T7">
        <v>6.8283659999999998E-3</v>
      </c>
      <c r="U7">
        <v>8.9398870000000005E-3</v>
      </c>
      <c r="V7">
        <v>9.9560359999999997E-3</v>
      </c>
      <c r="W7">
        <v>8.8337369999999995E-3</v>
      </c>
      <c r="X7">
        <v>2.8736925E-2</v>
      </c>
      <c r="Y7">
        <v>9.3510520000000003E-3</v>
      </c>
      <c r="Z7">
        <v>1.2249848000000001E-2</v>
      </c>
      <c r="AA7">
        <v>9.4771969999999997E-3</v>
      </c>
      <c r="AB7">
        <v>7.3057189999999996E-3</v>
      </c>
      <c r="AC7">
        <v>8.8424109999999997E-3</v>
      </c>
      <c r="AD7">
        <v>7.5612500000000003E-3</v>
      </c>
      <c r="AE7">
        <v>7.5125890000000001E-3</v>
      </c>
      <c r="AF7">
        <v>7.1863710000000004E-3</v>
      </c>
      <c r="AG7">
        <v>6.2104170000000002E-3</v>
      </c>
      <c r="AH7">
        <v>4.387981E-3</v>
      </c>
      <c r="AI7">
        <v>8.3743129999999995E-3</v>
      </c>
      <c r="AJ7">
        <v>8.4597860000000004E-3</v>
      </c>
      <c r="AK7">
        <v>7.2692859999999998E-3</v>
      </c>
      <c r="AL7">
        <v>7.0373629999999996E-3</v>
      </c>
      <c r="AM7">
        <v>9.892863E-3</v>
      </c>
      <c r="AN7">
        <v>4.9855979999999999E-3</v>
      </c>
      <c r="AO7">
        <v>6.8147720000000002E-3</v>
      </c>
      <c r="AP7">
        <v>8.0249989999999997E-3</v>
      </c>
      <c r="AQ7">
        <v>8.5800809999999998E-3</v>
      </c>
      <c r="AS7">
        <v>0.04</v>
      </c>
      <c r="AT7">
        <v>6</v>
      </c>
    </row>
    <row r="8" spans="1:56" x14ac:dyDescent="0.2">
      <c r="A8">
        <v>4</v>
      </c>
      <c r="B8" t="s">
        <v>6</v>
      </c>
      <c r="C8">
        <v>52.99</v>
      </c>
      <c r="D8">
        <v>4036000</v>
      </c>
      <c r="E8" s="11">
        <v>0.22360679774997896</v>
      </c>
      <c r="F8">
        <v>24.43</v>
      </c>
      <c r="G8">
        <v>0.09</v>
      </c>
      <c r="H8" s="1">
        <f t="shared" si="0"/>
        <v>5.0000000000000001E-3</v>
      </c>
      <c r="I8" s="5">
        <f t="shared" si="1"/>
        <v>2500000</v>
      </c>
      <c r="J8" s="6">
        <f t="shared" si="2"/>
        <v>47178.712964710321</v>
      </c>
      <c r="K8" s="4">
        <f t="shared" si="3"/>
        <v>1.1689472984318713E-2</v>
      </c>
      <c r="L8" s="1">
        <f t="shared" si="4"/>
        <v>1.1554408043642756E-2</v>
      </c>
      <c r="M8">
        <f t="shared" si="5"/>
        <v>4.0350604939115868</v>
      </c>
      <c r="N8" s="5">
        <f t="shared" si="6"/>
        <v>1008.7651234778967</v>
      </c>
      <c r="O8" s="3">
        <f t="shared" si="7"/>
        <v>225000</v>
      </c>
      <c r="P8" s="5">
        <f t="shared" si="8"/>
        <v>223991.2348765221</v>
      </c>
      <c r="R8" t="s">
        <v>6</v>
      </c>
      <c r="S8">
        <v>1.4396213E-2</v>
      </c>
      <c r="T8">
        <v>1.1370447000000001E-2</v>
      </c>
      <c r="U8">
        <v>1.5734531999999999E-2</v>
      </c>
      <c r="V8">
        <v>1.7689013E-2</v>
      </c>
      <c r="W8">
        <v>1.5441902E-2</v>
      </c>
      <c r="X8">
        <v>9.3510520000000003E-3</v>
      </c>
      <c r="Y8">
        <v>5.0373813000000003E-2</v>
      </c>
      <c r="Z8">
        <v>2.3111368E-2</v>
      </c>
      <c r="AA8">
        <v>1.7488133999999999E-2</v>
      </c>
      <c r="AB8">
        <v>1.2726790999999999E-2</v>
      </c>
      <c r="AC8">
        <v>1.4184054999999999E-2</v>
      </c>
      <c r="AD8">
        <v>1.3518128000000001E-2</v>
      </c>
      <c r="AE8">
        <v>1.3099230999999999E-2</v>
      </c>
      <c r="AF8">
        <v>1.2239831E-2</v>
      </c>
      <c r="AG8">
        <v>1.0380172E-2</v>
      </c>
      <c r="AH8">
        <v>7.3234349999999997E-3</v>
      </c>
      <c r="AI8">
        <v>1.434768E-2</v>
      </c>
      <c r="AJ8">
        <v>1.4501042E-2</v>
      </c>
      <c r="AK8">
        <v>1.2614465E-2</v>
      </c>
      <c r="AL8">
        <v>1.3467321000000001E-2</v>
      </c>
      <c r="AM8">
        <v>1.7177246E-2</v>
      </c>
      <c r="AN8">
        <v>7.9968969999999993E-3</v>
      </c>
      <c r="AO8">
        <v>1.0933399E-2</v>
      </c>
      <c r="AP8">
        <v>1.3502448E-2</v>
      </c>
      <c r="AQ8">
        <v>1.4902575E-2</v>
      </c>
      <c r="AS8">
        <v>0.04</v>
      </c>
      <c r="AT8">
        <v>7</v>
      </c>
    </row>
    <row r="9" spans="1:56" x14ac:dyDescent="0.2">
      <c r="A9">
        <v>4</v>
      </c>
      <c r="B9" t="s">
        <v>7</v>
      </c>
      <c r="C9">
        <v>131.25</v>
      </c>
      <c r="D9">
        <v>5468000</v>
      </c>
      <c r="E9" s="11">
        <v>0.28195744359743369</v>
      </c>
      <c r="F9">
        <v>25.21</v>
      </c>
      <c r="G9">
        <v>0.17</v>
      </c>
      <c r="H9" s="1">
        <f t="shared" si="0"/>
        <v>5.0000000000000001E-3</v>
      </c>
      <c r="I9" s="5">
        <f t="shared" si="1"/>
        <v>2500000</v>
      </c>
      <c r="J9" s="6">
        <f t="shared" si="2"/>
        <v>19047.619047619046</v>
      </c>
      <c r="K9" s="4">
        <f t="shared" si="3"/>
        <v>3.4834709304350851E-3</v>
      </c>
      <c r="L9" s="1">
        <f t="shared" si="4"/>
        <v>3.4713784843961536E-3</v>
      </c>
      <c r="M9">
        <f t="shared" si="5"/>
        <v>2.0571197933114025</v>
      </c>
      <c r="N9" s="5">
        <f t="shared" si="6"/>
        <v>514.27994832785055</v>
      </c>
      <c r="O9" s="3">
        <f t="shared" si="7"/>
        <v>425000.00000000006</v>
      </c>
      <c r="P9" s="5">
        <f t="shared" si="8"/>
        <v>424485.72005167219</v>
      </c>
      <c r="R9" t="s">
        <v>7</v>
      </c>
      <c r="S9">
        <v>1.6525015000000001E-2</v>
      </c>
      <c r="T9">
        <v>1.379623E-2</v>
      </c>
      <c r="U9">
        <v>2.0566745000000001E-2</v>
      </c>
      <c r="V9">
        <v>2.3247451999999998E-2</v>
      </c>
      <c r="W9">
        <v>2.0427667E-2</v>
      </c>
      <c r="X9">
        <v>1.2249848000000001E-2</v>
      </c>
      <c r="Y9">
        <v>2.3111368E-2</v>
      </c>
      <c r="Z9">
        <v>8.0008229E-2</v>
      </c>
      <c r="AA9">
        <v>2.4757514000000001E-2</v>
      </c>
      <c r="AB9">
        <v>1.6521503999999999E-2</v>
      </c>
      <c r="AC9">
        <v>1.1288289E-2</v>
      </c>
      <c r="AD9">
        <v>1.7854774E-2</v>
      </c>
      <c r="AE9">
        <v>1.6940710000000001E-2</v>
      </c>
      <c r="AF9">
        <v>1.4681994E-2</v>
      </c>
      <c r="AG9">
        <v>1.296371E-2</v>
      </c>
      <c r="AH9">
        <v>9.2645120000000008E-3</v>
      </c>
      <c r="AI9">
        <v>1.5050312E-2</v>
      </c>
      <c r="AJ9">
        <v>1.8300312999999999E-2</v>
      </c>
      <c r="AK9">
        <v>1.5883161999999999E-2</v>
      </c>
      <c r="AL9">
        <v>2.0053793E-2</v>
      </c>
      <c r="AM9">
        <v>2.137505E-2</v>
      </c>
      <c r="AN9">
        <v>9.0834869999999995E-3</v>
      </c>
      <c r="AO9">
        <v>1.1895149000000001E-2</v>
      </c>
      <c r="AP9">
        <v>1.3863851999999999E-2</v>
      </c>
      <c r="AQ9">
        <v>1.8169238000000001E-2</v>
      </c>
      <c r="AS9">
        <v>0.04</v>
      </c>
      <c r="AT9">
        <v>8</v>
      </c>
    </row>
    <row r="10" spans="1:56" x14ac:dyDescent="0.2">
      <c r="A10">
        <v>4</v>
      </c>
      <c r="B10" t="s">
        <v>8</v>
      </c>
      <c r="C10">
        <v>71.72</v>
      </c>
      <c r="D10">
        <v>1652000</v>
      </c>
      <c r="E10" s="11">
        <v>0.21737065119284157</v>
      </c>
      <c r="F10">
        <v>23.73</v>
      </c>
      <c r="G10">
        <v>0.14000000000000001</v>
      </c>
      <c r="H10" s="1">
        <f t="shared" si="0"/>
        <v>5.0000000000000001E-3</v>
      </c>
      <c r="I10" s="5">
        <f t="shared" si="1"/>
        <v>2500000</v>
      </c>
      <c r="J10" s="6">
        <f t="shared" si="2"/>
        <v>34857.780256553262</v>
      </c>
      <c r="K10" s="4">
        <f t="shared" si="3"/>
        <v>2.1100351244886961E-2</v>
      </c>
      <c r="L10" s="1">
        <f t="shared" si="4"/>
        <v>2.0664326693416772E-2</v>
      </c>
      <c r="M10">
        <f t="shared" si="5"/>
        <v>6.3150465600509973</v>
      </c>
      <c r="N10" s="5">
        <f t="shared" si="6"/>
        <v>1578.7616400127492</v>
      </c>
      <c r="O10" s="3">
        <f t="shared" si="7"/>
        <v>350000.00000000006</v>
      </c>
      <c r="P10" s="5">
        <f t="shared" si="8"/>
        <v>348421.23835998733</v>
      </c>
      <c r="R10" t="s">
        <v>8</v>
      </c>
      <c r="S10">
        <v>1.5196238000000001E-2</v>
      </c>
      <c r="T10">
        <v>1.1402361E-2</v>
      </c>
      <c r="U10">
        <v>1.6765188E-2</v>
      </c>
      <c r="V10">
        <v>1.9109977E-2</v>
      </c>
      <c r="W10">
        <v>1.6111365999999998E-2</v>
      </c>
      <c r="X10">
        <v>9.4771969999999997E-3</v>
      </c>
      <c r="Y10">
        <v>1.7488133999999999E-2</v>
      </c>
      <c r="Z10">
        <v>2.4757514000000001E-2</v>
      </c>
      <c r="AA10">
        <v>4.7500506999999997E-2</v>
      </c>
      <c r="AB10">
        <v>1.3360161000000001E-2</v>
      </c>
      <c r="AC10">
        <v>1.6286947999999999E-2</v>
      </c>
      <c r="AD10">
        <v>1.4721553E-2</v>
      </c>
      <c r="AE10">
        <v>1.3810118E-2</v>
      </c>
      <c r="AF10">
        <v>1.2940202E-2</v>
      </c>
      <c r="AG10">
        <v>1.0291391E-2</v>
      </c>
      <c r="AH10">
        <v>7.1744640000000002E-3</v>
      </c>
      <c r="AI10">
        <v>1.6509431000000001E-2</v>
      </c>
      <c r="AJ10">
        <v>1.5031246999999999E-2</v>
      </c>
      <c r="AK10">
        <v>1.3410089E-2</v>
      </c>
      <c r="AL10">
        <v>1.5177207999999999E-2</v>
      </c>
      <c r="AM10">
        <v>1.841775E-2</v>
      </c>
      <c r="AN10">
        <v>7.7125079999999999E-3</v>
      </c>
      <c r="AO10">
        <v>1.0833048E-2</v>
      </c>
      <c r="AP10">
        <v>1.5194439000000001E-2</v>
      </c>
      <c r="AQ10">
        <v>1.6191100999999999E-2</v>
      </c>
      <c r="AS10">
        <v>0.04</v>
      </c>
      <c r="AT10">
        <v>9</v>
      </c>
    </row>
    <row r="11" spans="1:56" x14ac:dyDescent="0.2">
      <c r="A11">
        <v>4</v>
      </c>
      <c r="B11" t="s">
        <v>9</v>
      </c>
      <c r="C11">
        <v>58.89</v>
      </c>
      <c r="D11">
        <v>3777000</v>
      </c>
      <c r="E11" s="11">
        <v>0.24545875417267154</v>
      </c>
      <c r="F11">
        <v>23.09</v>
      </c>
      <c r="G11">
        <v>0.12</v>
      </c>
      <c r="H11" s="1">
        <f t="shared" si="0"/>
        <v>2.8146480341588401E-2</v>
      </c>
      <c r="I11" s="5">
        <f t="shared" si="1"/>
        <v>14073240.1707942</v>
      </c>
      <c r="J11" s="6">
        <f t="shared" si="2"/>
        <v>238975.04110705043</v>
      </c>
      <c r="K11" s="4">
        <f t="shared" si="3"/>
        <v>6.3271125524768448E-2</v>
      </c>
      <c r="L11" s="1">
        <f t="shared" si="4"/>
        <v>5.9506107149802943E-2</v>
      </c>
      <c r="M11">
        <f t="shared" si="5"/>
        <v>17.677261736067745</v>
      </c>
      <c r="N11" s="5">
        <f t="shared" si="6"/>
        <v>24877.634997367179</v>
      </c>
      <c r="O11" s="3">
        <f t="shared" si="7"/>
        <v>1688788.820495304</v>
      </c>
      <c r="P11" s="5">
        <f t="shared" si="8"/>
        <v>1663911.1854979368</v>
      </c>
      <c r="R11" t="s">
        <v>9</v>
      </c>
      <c r="S11">
        <v>1.2164378E-2</v>
      </c>
      <c r="T11">
        <v>9.2278780000000001E-3</v>
      </c>
      <c r="U11">
        <v>1.2484011999999999E-2</v>
      </c>
      <c r="V11">
        <v>1.4048568000000001E-2</v>
      </c>
      <c r="W11">
        <v>1.2096318999999999E-2</v>
      </c>
      <c r="X11">
        <v>7.3057189999999996E-3</v>
      </c>
      <c r="Y11">
        <v>1.2726790999999999E-2</v>
      </c>
      <c r="Z11">
        <v>1.6521503999999999E-2</v>
      </c>
      <c r="AA11">
        <v>1.3360161000000001E-2</v>
      </c>
      <c r="AB11">
        <v>6.0673428000000001E-2</v>
      </c>
      <c r="AC11">
        <v>1.3950921E-2</v>
      </c>
      <c r="AD11">
        <v>1.0731345999999999E-2</v>
      </c>
      <c r="AE11">
        <v>1.0422692000000001E-2</v>
      </c>
      <c r="AF11">
        <v>1.0133469000000001E-2</v>
      </c>
      <c r="AG11">
        <v>8.2744640000000005E-3</v>
      </c>
      <c r="AH11">
        <v>5.7793760000000001E-3</v>
      </c>
      <c r="AI11">
        <v>1.2894783999999999E-2</v>
      </c>
      <c r="AJ11">
        <v>1.1635776E-2</v>
      </c>
      <c r="AK11">
        <v>1.020601E-2</v>
      </c>
      <c r="AL11">
        <v>1.0036688E-2</v>
      </c>
      <c r="AM11">
        <v>1.4016733999999999E-2</v>
      </c>
      <c r="AN11">
        <v>6.6329930000000002E-3</v>
      </c>
      <c r="AO11">
        <v>9.3072239999999994E-3</v>
      </c>
      <c r="AP11">
        <v>1.2162709000000001E-2</v>
      </c>
      <c r="AQ11">
        <v>1.2332696000000001E-2</v>
      </c>
      <c r="AS11">
        <v>0.04</v>
      </c>
      <c r="AT11">
        <v>10</v>
      </c>
    </row>
    <row r="12" spans="1:56" x14ac:dyDescent="0.2">
      <c r="A12">
        <v>4</v>
      </c>
      <c r="B12" t="s">
        <v>10</v>
      </c>
      <c r="C12">
        <v>8.66</v>
      </c>
      <c r="D12">
        <v>13378000</v>
      </c>
      <c r="E12" s="11">
        <v>0.40650953248355692</v>
      </c>
      <c r="F12">
        <v>22.02</v>
      </c>
      <c r="G12">
        <v>0.21</v>
      </c>
      <c r="H12" s="1">
        <f t="shared" si="0"/>
        <v>5.0000000000000001E-3</v>
      </c>
      <c r="I12" s="5">
        <f t="shared" si="1"/>
        <v>2500000</v>
      </c>
      <c r="J12" s="6">
        <f t="shared" si="2"/>
        <v>288683.60277136258</v>
      </c>
      <c r="K12" s="4">
        <f t="shared" si="3"/>
        <v>2.1578980622765927E-2</v>
      </c>
      <c r="L12" s="1">
        <f t="shared" si="4"/>
        <v>2.1123164270285925E-2</v>
      </c>
      <c r="M12">
        <f t="shared" si="5"/>
        <v>9.1672920856685511</v>
      </c>
      <c r="N12" s="5">
        <f t="shared" si="6"/>
        <v>2291.8230214171376</v>
      </c>
      <c r="O12" s="3">
        <f t="shared" si="7"/>
        <v>525000</v>
      </c>
      <c r="P12" s="5">
        <f t="shared" si="8"/>
        <v>522708.17697858287</v>
      </c>
      <c r="R12" t="s">
        <v>10</v>
      </c>
      <c r="S12">
        <v>2.2022389E-2</v>
      </c>
      <c r="T12">
        <v>1.3389317E-2</v>
      </c>
      <c r="U12">
        <v>1.7664776E-2</v>
      </c>
      <c r="V12">
        <v>2.0364139E-2</v>
      </c>
      <c r="W12">
        <v>1.5552655E-2</v>
      </c>
      <c r="X12">
        <v>8.8424109999999997E-3</v>
      </c>
      <c r="Y12">
        <v>1.4184054999999999E-2</v>
      </c>
      <c r="Z12">
        <v>1.1288289E-2</v>
      </c>
      <c r="AA12">
        <v>1.6286947999999999E-2</v>
      </c>
      <c r="AB12">
        <v>1.3950921E-2</v>
      </c>
      <c r="AC12">
        <v>0.16642889799999999</v>
      </c>
      <c r="AD12">
        <v>1.5699439999999999E-2</v>
      </c>
      <c r="AE12">
        <v>1.4728309E-2</v>
      </c>
      <c r="AF12">
        <v>1.7044930999999999E-2</v>
      </c>
      <c r="AG12">
        <v>1.0821694999999999E-2</v>
      </c>
      <c r="AH12">
        <v>7.0277580000000003E-3</v>
      </c>
      <c r="AI12">
        <v>3.0299209000000001E-2</v>
      </c>
      <c r="AJ12">
        <v>1.6720395999999998E-2</v>
      </c>
      <c r="AK12">
        <v>1.5732393000000001E-2</v>
      </c>
      <c r="AL12">
        <v>1.1049302E-2</v>
      </c>
      <c r="AM12">
        <v>2.2632334E-2</v>
      </c>
      <c r="AN12">
        <v>1.0128401E-2</v>
      </c>
      <c r="AO12">
        <v>1.6230772000000001E-2</v>
      </c>
      <c r="AP12">
        <v>2.8228306000000002E-2</v>
      </c>
      <c r="AQ12">
        <v>2.1360833999999999E-2</v>
      </c>
      <c r="AS12">
        <v>0.04</v>
      </c>
      <c r="AT12">
        <v>11</v>
      </c>
    </row>
    <row r="13" spans="1:56" x14ac:dyDescent="0.2">
      <c r="A13">
        <v>4</v>
      </c>
      <c r="B13" t="s">
        <v>11</v>
      </c>
      <c r="C13">
        <v>69.75</v>
      </c>
      <c r="D13">
        <v>1680000</v>
      </c>
      <c r="E13" s="11">
        <v>0.21447610589527216</v>
      </c>
      <c r="F13">
        <v>23.01</v>
      </c>
      <c r="G13">
        <v>0.15</v>
      </c>
      <c r="H13" s="1">
        <f t="shared" si="0"/>
        <v>4.3553069611118642E-2</v>
      </c>
      <c r="I13" s="5">
        <f t="shared" si="1"/>
        <v>21776534.805559322</v>
      </c>
      <c r="J13" s="6">
        <f t="shared" si="2"/>
        <v>312208.38430909422</v>
      </c>
      <c r="K13" s="4">
        <f t="shared" si="3"/>
        <v>0.18583832399350847</v>
      </c>
      <c r="L13" s="1">
        <f t="shared" si="4"/>
        <v>0.15671472260035155</v>
      </c>
      <c r="M13">
        <f t="shared" si="5"/>
        <v>44.286900827915623</v>
      </c>
      <c r="N13" s="5">
        <f t="shared" si="6"/>
        <v>96441.523730945861</v>
      </c>
      <c r="O13" s="3">
        <f t="shared" si="7"/>
        <v>3266480.2208338981</v>
      </c>
      <c r="P13" s="5">
        <f t="shared" si="8"/>
        <v>3170038.6971029523</v>
      </c>
      <c r="R13" t="s">
        <v>11</v>
      </c>
      <c r="S13">
        <v>1.2989624999999999E-2</v>
      </c>
      <c r="T13">
        <v>9.4890830000000006E-3</v>
      </c>
      <c r="U13">
        <v>1.3423829999999999E-2</v>
      </c>
      <c r="V13">
        <v>1.52652E-2</v>
      </c>
      <c r="W13">
        <v>1.2800272999999999E-2</v>
      </c>
      <c r="X13">
        <v>7.5612500000000003E-3</v>
      </c>
      <c r="Y13">
        <v>1.3518128000000001E-2</v>
      </c>
      <c r="Z13">
        <v>1.7854774E-2</v>
      </c>
      <c r="AA13">
        <v>1.4721553E-2</v>
      </c>
      <c r="AB13">
        <v>1.0731345999999999E-2</v>
      </c>
      <c r="AC13">
        <v>1.5699439999999999E-2</v>
      </c>
      <c r="AD13">
        <v>4.6404560999999997E-2</v>
      </c>
      <c r="AE13">
        <v>1.1117919E-2</v>
      </c>
      <c r="AF13">
        <v>1.0832688E-2</v>
      </c>
      <c r="AG13">
        <v>8.4308830000000001E-3</v>
      </c>
      <c r="AH13">
        <v>5.8332619999999996E-3</v>
      </c>
      <c r="AI13">
        <v>1.4599045E-2</v>
      </c>
      <c r="AJ13">
        <v>1.225651E-2</v>
      </c>
      <c r="AK13">
        <v>1.0954731000000001E-2</v>
      </c>
      <c r="AL13">
        <v>1.1297681E-2</v>
      </c>
      <c r="AM13">
        <v>1.5139929E-2</v>
      </c>
      <c r="AN13">
        <v>6.6406089999999996E-3</v>
      </c>
      <c r="AO13">
        <v>9.5093629999999998E-3</v>
      </c>
      <c r="AP13">
        <v>1.3560801000000001E-2</v>
      </c>
      <c r="AQ13">
        <v>1.3448009E-2</v>
      </c>
      <c r="AS13">
        <v>0.04</v>
      </c>
      <c r="AT13">
        <v>12</v>
      </c>
    </row>
    <row r="14" spans="1:56" x14ac:dyDescent="0.2">
      <c r="A14">
        <v>4</v>
      </c>
      <c r="B14" t="s">
        <v>12</v>
      </c>
      <c r="C14">
        <v>144.06</v>
      </c>
      <c r="D14">
        <v>1834000</v>
      </c>
      <c r="E14" s="11">
        <v>0.2382225849914319</v>
      </c>
      <c r="F14">
        <v>24.27</v>
      </c>
      <c r="G14">
        <v>0.14000000000000001</v>
      </c>
      <c r="H14" s="1">
        <f t="shared" si="0"/>
        <v>3.3358860520693957E-2</v>
      </c>
      <c r="I14" s="5">
        <f t="shared" si="1"/>
        <v>16679430.260346979</v>
      </c>
      <c r="J14" s="6">
        <f t="shared" si="2"/>
        <v>115781.13466851991</v>
      </c>
      <c r="K14" s="4">
        <f t="shared" si="3"/>
        <v>6.3130389677491766E-2</v>
      </c>
      <c r="L14" s="1">
        <f t="shared" si="4"/>
        <v>5.9381605765820335E-2</v>
      </c>
      <c r="M14">
        <f t="shared" si="5"/>
        <v>17.345090463053829</v>
      </c>
      <c r="N14" s="5">
        <f t="shared" si="6"/>
        <v>28930.622673791582</v>
      </c>
      <c r="O14" s="3">
        <f t="shared" si="7"/>
        <v>2335120.2364485771</v>
      </c>
      <c r="P14" s="5">
        <f t="shared" si="8"/>
        <v>2306189.6137747858</v>
      </c>
      <c r="R14" t="s">
        <v>12</v>
      </c>
      <c r="S14">
        <v>1.2630687E-2</v>
      </c>
      <c r="T14">
        <v>9.5118640000000001E-3</v>
      </c>
      <c r="U14">
        <v>1.2908685E-2</v>
      </c>
      <c r="V14">
        <v>1.4544969E-2</v>
      </c>
      <c r="W14">
        <v>1.2472197000000001E-2</v>
      </c>
      <c r="X14">
        <v>7.5125890000000001E-3</v>
      </c>
      <c r="Y14">
        <v>1.3099230999999999E-2</v>
      </c>
      <c r="Z14">
        <v>1.6940710000000001E-2</v>
      </c>
      <c r="AA14">
        <v>1.3810118E-2</v>
      </c>
      <c r="AB14">
        <v>1.0422692000000001E-2</v>
      </c>
      <c r="AC14">
        <v>1.4728309E-2</v>
      </c>
      <c r="AD14">
        <v>1.1117919E-2</v>
      </c>
      <c r="AE14">
        <v>5.7104507999999998E-2</v>
      </c>
      <c r="AF14">
        <v>1.0506725999999999E-2</v>
      </c>
      <c r="AG14">
        <v>8.5083220000000005E-3</v>
      </c>
      <c r="AH14">
        <v>5.9317909999999996E-3</v>
      </c>
      <c r="AI14">
        <v>1.3540416E-2</v>
      </c>
      <c r="AJ14">
        <v>1.2014726E-2</v>
      </c>
      <c r="AK14">
        <v>1.0567653E-2</v>
      </c>
      <c r="AL14">
        <v>1.0378722E-2</v>
      </c>
      <c r="AM14">
        <v>1.4533574E-2</v>
      </c>
      <c r="AN14">
        <v>6.8292259999999999E-3</v>
      </c>
      <c r="AO14">
        <v>9.6226279999999994E-3</v>
      </c>
      <c r="AP14">
        <v>1.2750897000000001E-2</v>
      </c>
      <c r="AQ14">
        <v>1.281536E-2</v>
      </c>
      <c r="AS14">
        <v>0.04</v>
      </c>
      <c r="AT14">
        <v>13</v>
      </c>
    </row>
    <row r="15" spans="1:56" x14ac:dyDescent="0.2">
      <c r="A15">
        <v>4</v>
      </c>
      <c r="B15" t="s">
        <v>13</v>
      </c>
      <c r="C15">
        <v>55.21</v>
      </c>
      <c r="D15">
        <v>566000</v>
      </c>
      <c r="E15" s="11">
        <v>0.1414213562373095</v>
      </c>
      <c r="F15">
        <v>23.03</v>
      </c>
      <c r="G15">
        <v>0.06</v>
      </c>
      <c r="H15" s="1">
        <f t="shared" si="0"/>
        <v>1.5739079321381608E-2</v>
      </c>
      <c r="I15" s="5">
        <f t="shared" si="1"/>
        <v>7869539.660690804</v>
      </c>
      <c r="J15" s="6">
        <f t="shared" si="2"/>
        <v>142538.30213169361</v>
      </c>
      <c r="K15" s="4">
        <f t="shared" si="3"/>
        <v>0.25183445606306293</v>
      </c>
      <c r="L15" s="1">
        <f t="shared" si="4"/>
        <v>0.20117233140799282</v>
      </c>
      <c r="M15">
        <f t="shared" si="5"/>
        <v>46.065382741456936</v>
      </c>
      <c r="N15" s="5">
        <f t="shared" si="6"/>
        <v>36251.335646879699</v>
      </c>
      <c r="O15" s="3">
        <f t="shared" si="7"/>
        <v>472172.37964144821</v>
      </c>
      <c r="P15" s="5">
        <f t="shared" si="8"/>
        <v>435921.04399456852</v>
      </c>
      <c r="R15" t="s">
        <v>13</v>
      </c>
      <c r="S15">
        <v>1.3026874000000001E-2</v>
      </c>
      <c r="T15">
        <v>9.4450660000000002E-3</v>
      </c>
      <c r="U15">
        <v>1.2562039000000001E-2</v>
      </c>
      <c r="V15">
        <v>1.4174340000000001E-2</v>
      </c>
      <c r="W15">
        <v>1.1974423E-2</v>
      </c>
      <c r="X15">
        <v>7.1863710000000004E-3</v>
      </c>
      <c r="Y15">
        <v>1.2239831E-2</v>
      </c>
      <c r="Z15">
        <v>1.4681994E-2</v>
      </c>
      <c r="AA15">
        <v>1.2940202E-2</v>
      </c>
      <c r="AB15">
        <v>1.0133469000000001E-2</v>
      </c>
      <c r="AC15">
        <v>1.7044930999999999E-2</v>
      </c>
      <c r="AD15">
        <v>1.0832688E-2</v>
      </c>
      <c r="AE15">
        <v>1.0506725999999999E-2</v>
      </c>
      <c r="AF15">
        <v>2.0000002999999999E-2</v>
      </c>
      <c r="AG15">
        <v>8.3002260000000008E-3</v>
      </c>
      <c r="AH15">
        <v>5.7266840000000001E-3</v>
      </c>
      <c r="AI15">
        <v>1.4709656999999999E-2</v>
      </c>
      <c r="AJ15">
        <v>1.1812018000000001E-2</v>
      </c>
      <c r="AK15">
        <v>1.0479732E-2</v>
      </c>
      <c r="AL15">
        <v>9.4740680000000004E-3</v>
      </c>
      <c r="AM15">
        <v>1.4532249000000001E-2</v>
      </c>
      <c r="AN15">
        <v>6.9135780000000001E-3</v>
      </c>
      <c r="AO15">
        <v>9.9745279999999999E-3</v>
      </c>
      <c r="AP15">
        <v>1.3870406E-2</v>
      </c>
      <c r="AQ15">
        <v>1.2984974E-2</v>
      </c>
      <c r="AS15">
        <v>0.04</v>
      </c>
      <c r="AT15">
        <v>14</v>
      </c>
    </row>
    <row r="16" spans="1:56" x14ac:dyDescent="0.2">
      <c r="A16">
        <v>4</v>
      </c>
      <c r="B16" t="s">
        <v>14</v>
      </c>
      <c r="C16">
        <v>68.02</v>
      </c>
      <c r="D16">
        <v>3051000</v>
      </c>
      <c r="E16" s="11">
        <v>0.13874436925511607</v>
      </c>
      <c r="F16">
        <v>24.82</v>
      </c>
      <c r="G16">
        <v>7.0000000000000007E-2</v>
      </c>
      <c r="H16" s="1">
        <f t="shared" si="0"/>
        <v>0.13667746017952367</v>
      </c>
      <c r="I16" s="5">
        <f t="shared" si="1"/>
        <v>68338730.089761838</v>
      </c>
      <c r="J16" s="6">
        <f t="shared" si="2"/>
        <v>1004685.8290173749</v>
      </c>
      <c r="K16" s="4">
        <f t="shared" si="3"/>
        <v>0.32929722353896262</v>
      </c>
      <c r="L16" s="1">
        <f t="shared" si="4"/>
        <v>0.24772279495347241</v>
      </c>
      <c r="M16">
        <f t="shared" si="5"/>
        <v>57.733506805867748</v>
      </c>
      <c r="N16" s="5">
        <f t="shared" si="6"/>
        <v>394543.4538741624</v>
      </c>
      <c r="O16" s="3">
        <f t="shared" si="7"/>
        <v>4783711.1062833294</v>
      </c>
      <c r="P16" s="5">
        <f t="shared" si="8"/>
        <v>4389167.652409167</v>
      </c>
      <c r="R16" t="s">
        <v>14</v>
      </c>
      <c r="S16">
        <v>1.0012559000000001E-2</v>
      </c>
      <c r="T16">
        <v>7.9634219999999995E-3</v>
      </c>
      <c r="U16">
        <v>1.0063574E-2</v>
      </c>
      <c r="V16">
        <v>1.1144744E-2</v>
      </c>
      <c r="W16">
        <v>9.9659359999999999E-3</v>
      </c>
      <c r="X16">
        <v>6.2104170000000002E-3</v>
      </c>
      <c r="Y16">
        <v>1.0380172E-2</v>
      </c>
      <c r="Z16">
        <v>1.296371E-2</v>
      </c>
      <c r="AA16">
        <v>1.0291391E-2</v>
      </c>
      <c r="AB16">
        <v>8.2744640000000005E-3</v>
      </c>
      <c r="AC16">
        <v>1.0821694999999999E-2</v>
      </c>
      <c r="AD16">
        <v>8.4308830000000001E-3</v>
      </c>
      <c r="AE16">
        <v>8.5083220000000005E-3</v>
      </c>
      <c r="AF16">
        <v>8.3002260000000008E-3</v>
      </c>
      <c r="AG16">
        <v>1.945115E-2</v>
      </c>
      <c r="AH16">
        <v>5.0907019999999999E-3</v>
      </c>
      <c r="AI16">
        <v>9.7652720000000002E-3</v>
      </c>
      <c r="AJ16">
        <v>9.6899499999999993E-3</v>
      </c>
      <c r="AK16">
        <v>8.2771019999999997E-3</v>
      </c>
      <c r="AL16">
        <v>7.4223680000000004E-3</v>
      </c>
      <c r="AM16">
        <v>1.1275228E-2</v>
      </c>
      <c r="AN16">
        <v>5.949635E-3</v>
      </c>
      <c r="AO16">
        <v>8.1609860000000003E-3</v>
      </c>
      <c r="AP16">
        <v>9.4538650000000005E-3</v>
      </c>
      <c r="AQ16">
        <v>9.7984189999999992E-3</v>
      </c>
      <c r="AS16">
        <v>0.04</v>
      </c>
      <c r="AT16">
        <v>15</v>
      </c>
    </row>
    <row r="17" spans="1:56" x14ac:dyDescent="0.2">
      <c r="A17">
        <v>4</v>
      </c>
      <c r="B17" t="s">
        <v>15</v>
      </c>
      <c r="C17">
        <v>111.94</v>
      </c>
      <c r="D17">
        <v>1027000</v>
      </c>
      <c r="E17" s="11">
        <v>0.13964240043768941</v>
      </c>
      <c r="F17">
        <v>23.51</v>
      </c>
      <c r="G17">
        <v>0.1</v>
      </c>
      <c r="H17" s="1">
        <f t="shared" si="0"/>
        <v>0.25</v>
      </c>
      <c r="I17" s="5">
        <f t="shared" si="1"/>
        <v>125000000</v>
      </c>
      <c r="J17" s="6">
        <f t="shared" si="2"/>
        <v>1116669.6444523851</v>
      </c>
      <c r="K17" s="4">
        <f t="shared" si="3"/>
        <v>1.0873122146566554</v>
      </c>
      <c r="L17" s="1">
        <f t="shared" si="4"/>
        <v>0.52091498675750758</v>
      </c>
      <c r="M17">
        <f t="shared" si="5"/>
        <v>148.19728010028118</v>
      </c>
      <c r="N17" s="5">
        <f t="shared" si="6"/>
        <v>1852466.0012535148</v>
      </c>
      <c r="O17" s="3">
        <f t="shared" si="7"/>
        <v>12500000</v>
      </c>
      <c r="P17" s="5">
        <f t="shared" si="8"/>
        <v>10647533.998746485</v>
      </c>
      <c r="R17" t="s">
        <v>15</v>
      </c>
      <c r="S17">
        <v>6.8772659999999999E-3</v>
      </c>
      <c r="T17">
        <v>5.5859569999999999E-3</v>
      </c>
      <c r="U17">
        <v>7.0030630000000003E-3</v>
      </c>
      <c r="V17">
        <v>7.7264040000000001E-3</v>
      </c>
      <c r="W17">
        <v>6.9924239999999997E-3</v>
      </c>
      <c r="X17">
        <v>4.387981E-3</v>
      </c>
      <c r="Y17">
        <v>7.3234349999999997E-3</v>
      </c>
      <c r="Z17">
        <v>9.2645120000000008E-3</v>
      </c>
      <c r="AA17">
        <v>7.1744640000000002E-3</v>
      </c>
      <c r="AB17">
        <v>5.7793760000000001E-3</v>
      </c>
      <c r="AC17">
        <v>7.0277580000000003E-3</v>
      </c>
      <c r="AD17">
        <v>5.8332619999999996E-3</v>
      </c>
      <c r="AE17">
        <v>5.9317909999999996E-3</v>
      </c>
      <c r="AF17">
        <v>5.7266840000000001E-3</v>
      </c>
      <c r="AG17">
        <v>5.0907019999999999E-3</v>
      </c>
      <c r="AH17">
        <v>1.9632863E-2</v>
      </c>
      <c r="AI17">
        <v>6.4555020000000001E-3</v>
      </c>
      <c r="AJ17">
        <v>6.7679089999999999E-3</v>
      </c>
      <c r="AK17">
        <v>5.7350980000000001E-3</v>
      </c>
      <c r="AL17">
        <v>5.1714609999999996E-3</v>
      </c>
      <c r="AM17">
        <v>7.7794040000000002E-3</v>
      </c>
      <c r="AN17">
        <v>4.1828660000000004E-3</v>
      </c>
      <c r="AO17">
        <v>5.6738229999999997E-3</v>
      </c>
      <c r="AP17">
        <v>6.2902610000000001E-3</v>
      </c>
      <c r="AQ17">
        <v>6.7143009999999998E-3</v>
      </c>
      <c r="AS17">
        <v>0.04</v>
      </c>
      <c r="AT17">
        <v>16</v>
      </c>
    </row>
    <row r="18" spans="1:56" x14ac:dyDescent="0.2">
      <c r="A18">
        <v>4</v>
      </c>
      <c r="B18" t="s">
        <v>16</v>
      </c>
      <c r="C18">
        <v>47.43</v>
      </c>
      <c r="D18">
        <v>1617000</v>
      </c>
      <c r="E18" s="11">
        <v>0.21505813167606566</v>
      </c>
      <c r="F18">
        <v>22.83</v>
      </c>
      <c r="G18">
        <v>0.09</v>
      </c>
      <c r="H18" s="1">
        <f t="shared" si="0"/>
        <v>5.0000000000000001E-3</v>
      </c>
      <c r="I18" s="5">
        <f t="shared" si="1"/>
        <v>2500000</v>
      </c>
      <c r="J18" s="6">
        <f t="shared" si="2"/>
        <v>52709.255745308874</v>
      </c>
      <c r="K18" s="4">
        <f t="shared" si="3"/>
        <v>3.2596942328576919E-2</v>
      </c>
      <c r="L18" s="1">
        <f t="shared" si="4"/>
        <v>3.1567924513768726E-2</v>
      </c>
      <c r="M18">
        <f t="shared" si="5"/>
        <v>9.0675011483441974</v>
      </c>
      <c r="N18" s="5">
        <f t="shared" si="6"/>
        <v>2266.8752870860494</v>
      </c>
      <c r="O18" s="3">
        <f t="shared" si="7"/>
        <v>225000</v>
      </c>
      <c r="P18" s="5">
        <f t="shared" si="8"/>
        <v>222733.12471291394</v>
      </c>
      <c r="R18" t="s">
        <v>16</v>
      </c>
      <c r="S18">
        <v>1.8508153999999999E-2</v>
      </c>
      <c r="T18">
        <v>1.1734583E-2</v>
      </c>
      <c r="U18">
        <v>1.6366851000000002E-2</v>
      </c>
      <c r="V18">
        <v>1.8889063000000001E-2</v>
      </c>
      <c r="W18">
        <v>1.4727825999999999E-2</v>
      </c>
      <c r="X18">
        <v>8.3743129999999995E-3</v>
      </c>
      <c r="Y18">
        <v>1.434768E-2</v>
      </c>
      <c r="Z18">
        <v>1.5050312E-2</v>
      </c>
      <c r="AA18">
        <v>1.6509431000000001E-2</v>
      </c>
      <c r="AB18">
        <v>1.2894783999999999E-2</v>
      </c>
      <c r="AC18">
        <v>3.0299209000000001E-2</v>
      </c>
      <c r="AD18">
        <v>1.4599045E-2</v>
      </c>
      <c r="AE18">
        <v>1.3540416E-2</v>
      </c>
      <c r="AF18">
        <v>1.4709656999999999E-2</v>
      </c>
      <c r="AG18">
        <v>9.7652720000000002E-3</v>
      </c>
      <c r="AH18">
        <v>6.4555020000000001E-3</v>
      </c>
      <c r="AI18">
        <v>4.6550679999999997E-2</v>
      </c>
      <c r="AJ18">
        <v>1.5074436E-2</v>
      </c>
      <c r="AK18">
        <v>1.4073456E-2</v>
      </c>
      <c r="AL18">
        <v>1.2044150999999999E-2</v>
      </c>
      <c r="AM18">
        <v>2.0018623999999999E-2</v>
      </c>
      <c r="AN18">
        <v>8.4874570000000003E-3</v>
      </c>
      <c r="AO18">
        <v>1.3274078E-2</v>
      </c>
      <c r="AP18">
        <v>2.2682687E-2</v>
      </c>
      <c r="AQ18">
        <v>1.8579155999999999E-2</v>
      </c>
      <c r="AS18">
        <v>0.04</v>
      </c>
      <c r="AT18">
        <v>17</v>
      </c>
    </row>
    <row r="19" spans="1:56" x14ac:dyDescent="0.2">
      <c r="A19">
        <v>4</v>
      </c>
      <c r="B19" t="s">
        <v>17</v>
      </c>
      <c r="C19">
        <v>62.41</v>
      </c>
      <c r="D19">
        <v>13844000</v>
      </c>
      <c r="E19" s="11">
        <v>0.18303005217723128</v>
      </c>
      <c r="F19">
        <v>25.74</v>
      </c>
      <c r="G19">
        <v>0.08</v>
      </c>
      <c r="H19" s="1">
        <f t="shared" si="0"/>
        <v>5.0000000000000001E-3</v>
      </c>
      <c r="I19" s="5">
        <f t="shared" si="1"/>
        <v>2500000</v>
      </c>
      <c r="J19" s="6">
        <f t="shared" si="2"/>
        <v>40057.683063611606</v>
      </c>
      <c r="K19" s="4">
        <f t="shared" si="3"/>
        <v>2.8935049887035256E-3</v>
      </c>
      <c r="L19" s="1">
        <f t="shared" si="4"/>
        <v>2.885156773187117E-3</v>
      </c>
      <c r="M19">
        <f t="shared" si="5"/>
        <v>1.4482143473753801</v>
      </c>
      <c r="N19" s="5">
        <f t="shared" si="6"/>
        <v>362.05358684384504</v>
      </c>
      <c r="O19" s="3">
        <f t="shared" si="7"/>
        <v>200000</v>
      </c>
      <c r="P19" s="5">
        <f t="shared" si="8"/>
        <v>199637.94641315617</v>
      </c>
      <c r="R19" t="s">
        <v>17</v>
      </c>
      <c r="S19">
        <v>1.4267887999999999E-2</v>
      </c>
      <c r="T19">
        <v>1.083219E-2</v>
      </c>
      <c r="U19">
        <v>1.4338780000000001E-2</v>
      </c>
      <c r="V19">
        <v>1.6081899E-2</v>
      </c>
      <c r="W19">
        <v>1.3914826999999999E-2</v>
      </c>
      <c r="X19">
        <v>8.4597860000000004E-3</v>
      </c>
      <c r="Y19">
        <v>1.4501042E-2</v>
      </c>
      <c r="Z19">
        <v>1.8300312999999999E-2</v>
      </c>
      <c r="AA19">
        <v>1.5031246999999999E-2</v>
      </c>
      <c r="AB19">
        <v>1.1635776E-2</v>
      </c>
      <c r="AC19">
        <v>1.6720395999999998E-2</v>
      </c>
      <c r="AD19">
        <v>1.225651E-2</v>
      </c>
      <c r="AE19">
        <v>1.2014726E-2</v>
      </c>
      <c r="AF19">
        <v>1.1812018000000001E-2</v>
      </c>
      <c r="AG19">
        <v>9.6899499999999993E-3</v>
      </c>
      <c r="AH19">
        <v>6.7679089999999999E-3</v>
      </c>
      <c r="AI19">
        <v>1.5074436E-2</v>
      </c>
      <c r="AJ19">
        <v>3.3584850999999999E-2</v>
      </c>
      <c r="AK19">
        <v>1.1799504000000001E-2</v>
      </c>
      <c r="AL19">
        <v>1.1111434999999999E-2</v>
      </c>
      <c r="AM19">
        <v>1.6211475999999999E-2</v>
      </c>
      <c r="AN19">
        <v>7.9022469999999994E-3</v>
      </c>
      <c r="AO19">
        <v>1.1098227E-2</v>
      </c>
      <c r="AP19">
        <v>1.4304641999999999E-2</v>
      </c>
      <c r="AQ19">
        <v>1.4276027E-2</v>
      </c>
      <c r="AS19">
        <v>0.04</v>
      </c>
      <c r="AT19">
        <v>18</v>
      </c>
    </row>
    <row r="20" spans="1:56" x14ac:dyDescent="0.2">
      <c r="A20">
        <v>4</v>
      </c>
      <c r="B20" t="s">
        <v>18</v>
      </c>
      <c r="C20">
        <v>95.52</v>
      </c>
      <c r="D20">
        <v>1635000</v>
      </c>
      <c r="E20" s="11">
        <v>0.18641351882307247</v>
      </c>
      <c r="F20">
        <v>24.21</v>
      </c>
      <c r="G20">
        <v>0.14000000000000001</v>
      </c>
      <c r="H20" s="1">
        <f t="shared" si="0"/>
        <v>6.5547463962735933E-2</v>
      </c>
      <c r="I20" s="5">
        <f t="shared" si="1"/>
        <v>32773731.981367968</v>
      </c>
      <c r="J20" s="6">
        <f t="shared" si="2"/>
        <v>343108.58439455577</v>
      </c>
      <c r="K20" s="4">
        <f t="shared" si="3"/>
        <v>0.20985234519544696</v>
      </c>
      <c r="L20" s="1">
        <f t="shared" si="4"/>
        <v>0.173452856481876</v>
      </c>
      <c r="M20">
        <f t="shared" si="5"/>
        <v>45.697423331430564</v>
      </c>
      <c r="N20" s="5">
        <f t="shared" si="6"/>
        <v>149767.51045034165</v>
      </c>
      <c r="O20" s="3">
        <f t="shared" si="7"/>
        <v>4588322.4773915159</v>
      </c>
      <c r="P20" s="5">
        <f t="shared" si="8"/>
        <v>4438554.9669411741</v>
      </c>
      <c r="R20" t="s">
        <v>18</v>
      </c>
      <c r="S20">
        <v>1.2694359000000001E-2</v>
      </c>
      <c r="T20">
        <v>9.3394289999999998E-3</v>
      </c>
      <c r="U20">
        <v>1.2672320000000001E-2</v>
      </c>
      <c r="V20">
        <v>1.4315746000000001E-2</v>
      </c>
      <c r="W20">
        <v>1.2137656E-2</v>
      </c>
      <c r="X20">
        <v>7.2692859999999998E-3</v>
      </c>
      <c r="Y20">
        <v>1.2614465E-2</v>
      </c>
      <c r="Z20">
        <v>1.5883161999999999E-2</v>
      </c>
      <c r="AA20">
        <v>1.3410089E-2</v>
      </c>
      <c r="AB20">
        <v>1.020601E-2</v>
      </c>
      <c r="AC20">
        <v>1.5732393000000001E-2</v>
      </c>
      <c r="AD20">
        <v>1.0954731000000001E-2</v>
      </c>
      <c r="AE20">
        <v>1.0567653E-2</v>
      </c>
      <c r="AF20">
        <v>1.0479732E-2</v>
      </c>
      <c r="AG20">
        <v>8.2771019999999997E-3</v>
      </c>
      <c r="AH20">
        <v>5.7350980000000001E-3</v>
      </c>
      <c r="AI20">
        <v>1.4073456E-2</v>
      </c>
      <c r="AJ20">
        <v>1.1799504000000001E-2</v>
      </c>
      <c r="AK20">
        <v>3.5015797000000001E-2</v>
      </c>
      <c r="AL20">
        <v>1.0014810000000001E-2</v>
      </c>
      <c r="AM20">
        <v>1.4444339E-2</v>
      </c>
      <c r="AN20">
        <v>6.7289020000000001E-3</v>
      </c>
      <c r="AO20">
        <v>9.6149249999999999E-3</v>
      </c>
      <c r="AP20">
        <v>1.3223132E-2</v>
      </c>
      <c r="AQ20">
        <v>1.2831832E-2</v>
      </c>
      <c r="AS20">
        <v>0.04</v>
      </c>
      <c r="AT20">
        <v>19</v>
      </c>
    </row>
    <row r="21" spans="1:56" x14ac:dyDescent="0.2">
      <c r="A21">
        <v>4</v>
      </c>
      <c r="B21" t="s">
        <v>19</v>
      </c>
      <c r="C21">
        <v>742.23</v>
      </c>
      <c r="D21">
        <v>463000</v>
      </c>
      <c r="E21" s="11">
        <v>0.26972207918522356</v>
      </c>
      <c r="F21">
        <v>23.61</v>
      </c>
      <c r="G21">
        <v>0.15</v>
      </c>
      <c r="H21" s="1">
        <f t="shared" si="0"/>
        <v>4.0653779091551434E-2</v>
      </c>
      <c r="I21" s="5">
        <f t="shared" si="1"/>
        <v>20326889.545775715</v>
      </c>
      <c r="J21" s="6">
        <f t="shared" si="2"/>
        <v>27386.240849569156</v>
      </c>
      <c r="K21" s="4">
        <f t="shared" si="3"/>
        <v>5.9149548271207678E-2</v>
      </c>
      <c r="L21" s="1">
        <f t="shared" si="4"/>
        <v>5.5846266816385159E-2</v>
      </c>
      <c r="M21">
        <f t="shared" si="5"/>
        <v>17.533566038072667</v>
      </c>
      <c r="N21" s="5">
        <f t="shared" si="6"/>
        <v>35640.28601994674</v>
      </c>
      <c r="O21" s="3">
        <f t="shared" si="7"/>
        <v>3049033.4318663571</v>
      </c>
      <c r="P21" s="5">
        <f t="shared" si="8"/>
        <v>3013393.1458464102</v>
      </c>
      <c r="R21" t="s">
        <v>19</v>
      </c>
      <c r="S21">
        <v>1.0947798E-2</v>
      </c>
      <c r="T21">
        <v>8.1760359999999994E-3</v>
      </c>
      <c r="U21">
        <v>1.2705374E-2</v>
      </c>
      <c r="V21">
        <v>1.4592612E-2</v>
      </c>
      <c r="W21">
        <v>1.2159328E-2</v>
      </c>
      <c r="X21">
        <v>7.0373629999999996E-3</v>
      </c>
      <c r="Y21">
        <v>1.3467321000000001E-2</v>
      </c>
      <c r="Z21">
        <v>2.0053793E-2</v>
      </c>
      <c r="AA21">
        <v>1.5177207999999999E-2</v>
      </c>
      <c r="AB21">
        <v>1.0036688E-2</v>
      </c>
      <c r="AC21">
        <v>1.1049302E-2</v>
      </c>
      <c r="AD21">
        <v>1.1297681E-2</v>
      </c>
      <c r="AE21">
        <v>1.0378722E-2</v>
      </c>
      <c r="AF21">
        <v>9.4740680000000004E-3</v>
      </c>
      <c r="AG21">
        <v>7.4223680000000004E-3</v>
      </c>
      <c r="AH21">
        <v>5.1714609999999996E-3</v>
      </c>
      <c r="AI21">
        <v>1.2044150999999999E-2</v>
      </c>
      <c r="AJ21">
        <v>1.1111434999999999E-2</v>
      </c>
      <c r="AK21">
        <v>1.0014810000000001E-2</v>
      </c>
      <c r="AL21">
        <v>7.3253047000000002E-2</v>
      </c>
      <c r="AM21">
        <v>1.3747206999999999E-2</v>
      </c>
      <c r="AN21">
        <v>5.280791E-3</v>
      </c>
      <c r="AO21">
        <v>7.4083389999999999E-3</v>
      </c>
      <c r="AP21">
        <v>1.0900241999999999E-2</v>
      </c>
      <c r="AQ21">
        <v>1.2067761E-2</v>
      </c>
      <c r="AS21">
        <v>0.04</v>
      </c>
      <c r="AT21">
        <v>20</v>
      </c>
    </row>
    <row r="22" spans="1:56" x14ac:dyDescent="0.2">
      <c r="A22">
        <v>4</v>
      </c>
      <c r="B22" t="s">
        <v>20</v>
      </c>
      <c r="C22">
        <v>128.54</v>
      </c>
      <c r="D22">
        <v>1495000</v>
      </c>
      <c r="E22" s="11">
        <v>0.20615528128088303</v>
      </c>
      <c r="F22">
        <v>23.59</v>
      </c>
      <c r="G22">
        <v>0.1</v>
      </c>
      <c r="H22" s="1">
        <f t="shared" si="0"/>
        <v>5.0000000000000001E-3</v>
      </c>
      <c r="I22" s="5">
        <f t="shared" si="1"/>
        <v>2500000</v>
      </c>
      <c r="J22" s="6">
        <f t="shared" si="2"/>
        <v>19449.198693013848</v>
      </c>
      <c r="K22" s="4">
        <f t="shared" si="3"/>
        <v>1.3009497453520969E-2</v>
      </c>
      <c r="L22" s="1">
        <f t="shared" si="4"/>
        <v>1.2842423971565847E-2</v>
      </c>
      <c r="M22">
        <f t="shared" si="5"/>
        <v>4.1776434206384652</v>
      </c>
      <c r="N22" s="5">
        <f t="shared" si="6"/>
        <v>1044.4108551596164</v>
      </c>
      <c r="O22" s="3">
        <f t="shared" si="7"/>
        <v>250000</v>
      </c>
      <c r="P22" s="5">
        <f t="shared" si="8"/>
        <v>248955.58914484037</v>
      </c>
      <c r="R22" t="s">
        <v>20</v>
      </c>
      <c r="S22">
        <v>1.7665538000000001E-2</v>
      </c>
      <c r="T22">
        <v>1.2795332E-2</v>
      </c>
      <c r="U22">
        <v>1.7448405E-2</v>
      </c>
      <c r="V22">
        <v>1.9760361000000001E-2</v>
      </c>
      <c r="W22">
        <v>1.6608996000000001E-2</v>
      </c>
      <c r="X22">
        <v>9.892863E-3</v>
      </c>
      <c r="Y22">
        <v>1.7177246E-2</v>
      </c>
      <c r="Z22">
        <v>2.137505E-2</v>
      </c>
      <c r="AA22">
        <v>1.841775E-2</v>
      </c>
      <c r="AB22">
        <v>1.4016733999999999E-2</v>
      </c>
      <c r="AC22">
        <v>2.2632334E-2</v>
      </c>
      <c r="AD22">
        <v>1.5139929E-2</v>
      </c>
      <c r="AE22">
        <v>1.4533574E-2</v>
      </c>
      <c r="AF22">
        <v>1.4532249000000001E-2</v>
      </c>
      <c r="AG22">
        <v>1.1275228E-2</v>
      </c>
      <c r="AH22">
        <v>7.7794040000000002E-3</v>
      </c>
      <c r="AI22">
        <v>2.0018623999999999E-2</v>
      </c>
      <c r="AJ22">
        <v>1.6211475999999999E-2</v>
      </c>
      <c r="AK22">
        <v>1.4444339E-2</v>
      </c>
      <c r="AL22">
        <v>1.3747206999999999E-2</v>
      </c>
      <c r="AM22">
        <v>4.2639700000000003E-2</v>
      </c>
      <c r="AN22">
        <v>9.2077789999999993E-3</v>
      </c>
      <c r="AO22">
        <v>1.3278181E-2</v>
      </c>
      <c r="AP22">
        <v>1.8758911E-2</v>
      </c>
      <c r="AQ22">
        <v>1.7866788000000002E-2</v>
      </c>
      <c r="AS22">
        <v>0.04</v>
      </c>
      <c r="AT22">
        <v>21</v>
      </c>
    </row>
    <row r="23" spans="1:56" x14ac:dyDescent="0.2">
      <c r="A23">
        <v>4</v>
      </c>
      <c r="B23" t="s">
        <v>21</v>
      </c>
      <c r="C23">
        <v>33.97</v>
      </c>
      <c r="D23">
        <v>2609000</v>
      </c>
      <c r="E23" s="11">
        <v>0.16658331248957681</v>
      </c>
      <c r="F23">
        <v>23</v>
      </c>
      <c r="G23">
        <v>0.08</v>
      </c>
      <c r="H23" s="1">
        <f t="shared" si="0"/>
        <v>0.12802399342390422</v>
      </c>
      <c r="I23" s="5">
        <f t="shared" si="1"/>
        <v>64011996.711952113</v>
      </c>
      <c r="J23" s="6">
        <f t="shared" si="2"/>
        <v>1884368.463701858</v>
      </c>
      <c r="K23" s="4">
        <f t="shared" si="3"/>
        <v>0.72225698110458336</v>
      </c>
      <c r="L23" s="1">
        <f t="shared" si="4"/>
        <v>0.41936655738875744</v>
      </c>
      <c r="M23">
        <f t="shared" si="5"/>
        <v>121.73516337999069</v>
      </c>
      <c r="N23" s="5">
        <f t="shared" si="6"/>
        <v>779251.08780089184</v>
      </c>
      <c r="O23" s="3">
        <f t="shared" si="7"/>
        <v>5120959.7369561689</v>
      </c>
      <c r="P23" s="5">
        <f t="shared" si="8"/>
        <v>4341708.6491552768</v>
      </c>
      <c r="R23" t="s">
        <v>21</v>
      </c>
      <c r="S23">
        <v>8.4996010000000007E-3</v>
      </c>
      <c r="T23">
        <v>6.6481750000000001E-3</v>
      </c>
      <c r="U23">
        <v>8.0126929999999996E-3</v>
      </c>
      <c r="V23">
        <v>8.8200180000000006E-3</v>
      </c>
      <c r="W23">
        <v>7.913359E-3</v>
      </c>
      <c r="X23">
        <v>4.9855979999999999E-3</v>
      </c>
      <c r="Y23">
        <v>7.9968969999999993E-3</v>
      </c>
      <c r="Z23">
        <v>9.0834869999999995E-3</v>
      </c>
      <c r="AA23">
        <v>7.7125079999999999E-3</v>
      </c>
      <c r="AB23">
        <v>6.6329930000000002E-3</v>
      </c>
      <c r="AC23">
        <v>1.0128401E-2</v>
      </c>
      <c r="AD23">
        <v>6.6406089999999996E-3</v>
      </c>
      <c r="AE23">
        <v>6.8292259999999999E-3</v>
      </c>
      <c r="AF23">
        <v>6.9135780000000001E-3</v>
      </c>
      <c r="AG23">
        <v>5.949635E-3</v>
      </c>
      <c r="AH23">
        <v>4.1828660000000004E-3</v>
      </c>
      <c r="AI23">
        <v>8.4874570000000003E-3</v>
      </c>
      <c r="AJ23">
        <v>7.9022469999999994E-3</v>
      </c>
      <c r="AK23">
        <v>6.7289020000000001E-3</v>
      </c>
      <c r="AL23">
        <v>5.280791E-3</v>
      </c>
      <c r="AM23">
        <v>9.2077789999999993E-3</v>
      </c>
      <c r="AN23">
        <v>2.7936107000000002E-2</v>
      </c>
      <c r="AO23">
        <v>7.1134869999999999E-3</v>
      </c>
      <c r="AP23">
        <v>8.2977439999999993E-3</v>
      </c>
      <c r="AQ23">
        <v>8.0650670000000004E-3</v>
      </c>
      <c r="AS23">
        <v>0.04</v>
      </c>
      <c r="AT23">
        <v>22</v>
      </c>
    </row>
    <row r="24" spans="1:56" x14ac:dyDescent="0.2">
      <c r="A24">
        <v>4</v>
      </c>
      <c r="B24" t="s">
        <v>22</v>
      </c>
      <c r="C24">
        <v>19.09</v>
      </c>
      <c r="D24">
        <v>3888000</v>
      </c>
      <c r="E24" s="11">
        <v>0.18371173070873836</v>
      </c>
      <c r="F24">
        <v>22.72</v>
      </c>
      <c r="G24">
        <v>7.0000000000000007E-2</v>
      </c>
      <c r="H24" s="1">
        <f t="shared" si="0"/>
        <v>3.1056733351573752E-2</v>
      </c>
      <c r="I24" s="5">
        <f t="shared" si="1"/>
        <v>15528366.675786877</v>
      </c>
      <c r="J24" s="6">
        <f t="shared" si="2"/>
        <v>813429.37013027119</v>
      </c>
      <c r="K24" s="4">
        <f t="shared" si="3"/>
        <v>0.20921537297589279</v>
      </c>
      <c r="L24" s="1">
        <f t="shared" si="4"/>
        <v>0.17301746045537891</v>
      </c>
      <c r="M24">
        <f t="shared" si="5"/>
        <v>45.196592056699039</v>
      </c>
      <c r="N24" s="5">
        <f t="shared" si="6"/>
        <v>70182.925395237922</v>
      </c>
      <c r="O24" s="3">
        <f t="shared" si="7"/>
        <v>1086985.6673050814</v>
      </c>
      <c r="P24" s="5">
        <f>O24-N24</f>
        <v>1016802.7419098434</v>
      </c>
      <c r="R24" t="s">
        <v>22</v>
      </c>
      <c r="S24">
        <v>1.2379060000000001E-2</v>
      </c>
      <c r="T24">
        <v>9.2613230000000001E-3</v>
      </c>
      <c r="U24">
        <v>1.1332904E-2</v>
      </c>
      <c r="V24">
        <v>1.2576311999999999E-2</v>
      </c>
      <c r="W24">
        <v>1.0984291E-2</v>
      </c>
      <c r="X24">
        <v>6.8147720000000002E-3</v>
      </c>
      <c r="Y24">
        <v>1.0933399E-2</v>
      </c>
      <c r="Z24">
        <v>1.1895149000000001E-2</v>
      </c>
      <c r="AA24">
        <v>1.0833048E-2</v>
      </c>
      <c r="AB24">
        <v>9.3072239999999994E-3</v>
      </c>
      <c r="AC24">
        <v>1.6230772000000001E-2</v>
      </c>
      <c r="AD24">
        <v>9.5093629999999998E-3</v>
      </c>
      <c r="AE24">
        <v>9.6226279999999994E-3</v>
      </c>
      <c r="AF24">
        <v>9.9745279999999999E-3</v>
      </c>
      <c r="AG24">
        <v>8.1609860000000003E-3</v>
      </c>
      <c r="AH24">
        <v>5.6738229999999997E-3</v>
      </c>
      <c r="AI24">
        <v>1.3274078E-2</v>
      </c>
      <c r="AJ24">
        <v>1.1098227E-2</v>
      </c>
      <c r="AK24">
        <v>9.6149249999999999E-3</v>
      </c>
      <c r="AL24">
        <v>7.4083389999999999E-3</v>
      </c>
      <c r="AM24">
        <v>1.3278181E-2</v>
      </c>
      <c r="AN24">
        <v>7.1134869999999999E-3</v>
      </c>
      <c r="AO24">
        <v>3.3945712000000003E-2</v>
      </c>
      <c r="AP24">
        <v>1.2823510999999999E-2</v>
      </c>
      <c r="AQ24">
        <v>1.1798995E-2</v>
      </c>
      <c r="AS24">
        <v>0.04</v>
      </c>
      <c r="AT24">
        <v>23</v>
      </c>
    </row>
    <row r="25" spans="1:56" x14ac:dyDescent="0.2">
      <c r="A25">
        <v>4</v>
      </c>
      <c r="B25" t="s">
        <v>23</v>
      </c>
      <c r="C25">
        <v>16.510000000000002</v>
      </c>
      <c r="D25">
        <v>2941000</v>
      </c>
      <c r="E25" s="11">
        <v>0.32365104665364514</v>
      </c>
      <c r="F25">
        <v>21.27</v>
      </c>
      <c r="G25">
        <v>0.14000000000000001</v>
      </c>
      <c r="H25" s="1">
        <f t="shared" si="0"/>
        <v>5.0000000000000001E-3</v>
      </c>
      <c r="I25" s="5">
        <f t="shared" si="1"/>
        <v>2500000</v>
      </c>
      <c r="J25" s="6">
        <f t="shared" si="2"/>
        <v>151423.37976983644</v>
      </c>
      <c r="K25" s="4">
        <f t="shared" si="3"/>
        <v>5.1487038344045034E-2</v>
      </c>
      <c r="L25" s="1">
        <f t="shared" si="4"/>
        <v>4.8965927744701827E-2</v>
      </c>
      <c r="M25">
        <f t="shared" si="5"/>
        <v>17.138914622835774</v>
      </c>
      <c r="N25" s="5">
        <f t="shared" si="6"/>
        <v>4284.7286557089437</v>
      </c>
      <c r="O25" s="3">
        <f t="shared" si="7"/>
        <v>350000.00000000006</v>
      </c>
      <c r="P25" s="5">
        <f t="shared" si="8"/>
        <v>345715.2713442911</v>
      </c>
      <c r="R25" t="s">
        <v>23</v>
      </c>
      <c r="S25">
        <v>1.7480347E-2</v>
      </c>
      <c r="T25">
        <v>1.1295690000000001E-2</v>
      </c>
      <c r="U25">
        <v>1.5340001000000001E-2</v>
      </c>
      <c r="V25">
        <v>1.7604024999999999E-2</v>
      </c>
      <c r="W25">
        <v>1.391967E-2</v>
      </c>
      <c r="X25">
        <v>8.0249989999999997E-3</v>
      </c>
      <c r="Y25">
        <v>1.3502448E-2</v>
      </c>
      <c r="Z25">
        <v>1.3863851999999999E-2</v>
      </c>
      <c r="AA25">
        <v>1.5194439000000001E-2</v>
      </c>
      <c r="AB25">
        <v>1.2162709000000001E-2</v>
      </c>
      <c r="AC25">
        <v>2.8228306000000002E-2</v>
      </c>
      <c r="AD25">
        <v>1.3560801000000001E-2</v>
      </c>
      <c r="AE25">
        <v>1.2750897000000001E-2</v>
      </c>
      <c r="AF25">
        <v>1.3870406E-2</v>
      </c>
      <c r="AG25">
        <v>9.4538650000000005E-3</v>
      </c>
      <c r="AH25">
        <v>6.2902610000000001E-3</v>
      </c>
      <c r="AI25">
        <v>2.2682687E-2</v>
      </c>
      <c r="AJ25">
        <v>1.4304641999999999E-2</v>
      </c>
      <c r="AK25">
        <v>1.3223132E-2</v>
      </c>
      <c r="AL25">
        <v>1.0900241999999999E-2</v>
      </c>
      <c r="AM25">
        <v>1.8758911E-2</v>
      </c>
      <c r="AN25">
        <v>8.2977439999999993E-3</v>
      </c>
      <c r="AO25">
        <v>1.2823510999999999E-2</v>
      </c>
      <c r="AP25">
        <v>0.105444634</v>
      </c>
      <c r="AQ25">
        <v>1.734629E-2</v>
      </c>
      <c r="AS25">
        <v>0.04</v>
      </c>
      <c r="AT25">
        <v>24</v>
      </c>
    </row>
    <row r="26" spans="1:56" x14ac:dyDescent="0.2">
      <c r="A26">
        <v>4</v>
      </c>
      <c r="B26" t="s">
        <v>24</v>
      </c>
      <c r="C26">
        <v>80.900000000000006</v>
      </c>
      <c r="D26">
        <v>2915000</v>
      </c>
      <c r="E26" s="11">
        <v>0.19429359227725448</v>
      </c>
      <c r="F26">
        <v>24.48</v>
      </c>
      <c r="G26">
        <v>0.14000000000000001</v>
      </c>
      <c r="H26" s="1">
        <f t="shared" si="0"/>
        <v>5.0118280669141299E-3</v>
      </c>
      <c r="I26" s="5">
        <f t="shared" si="1"/>
        <v>2505914.033457065</v>
      </c>
      <c r="J26" s="6">
        <f t="shared" si="2"/>
        <v>30975.451587849999</v>
      </c>
      <c r="K26" s="4">
        <f t="shared" si="3"/>
        <v>1.062622695981132E-2</v>
      </c>
      <c r="L26" s="1">
        <f t="shared" si="4"/>
        <v>1.0514497522766033E-2</v>
      </c>
      <c r="M26">
        <f t="shared" si="5"/>
        <v>3.4724669774999186</v>
      </c>
      <c r="N26" s="5">
        <f t="shared" si="6"/>
        <v>870.17037296332842</v>
      </c>
      <c r="O26" s="3">
        <f>G26*I26</f>
        <v>350827.96468398912</v>
      </c>
      <c r="P26" s="5">
        <f>O26-N26</f>
        <v>349957.79431102582</v>
      </c>
      <c r="R26" t="s">
        <v>24</v>
      </c>
      <c r="S26">
        <v>1.5873594000000001E-2</v>
      </c>
      <c r="T26">
        <v>1.1222357000000001E-2</v>
      </c>
      <c r="U26">
        <v>1.5411647000000001E-2</v>
      </c>
      <c r="V26">
        <v>1.7519578000000001E-2</v>
      </c>
      <c r="W26">
        <v>1.4528236999999999E-2</v>
      </c>
      <c r="X26">
        <v>8.5800809999999998E-3</v>
      </c>
      <c r="Y26">
        <v>1.4902575E-2</v>
      </c>
      <c r="Z26">
        <v>1.8169238000000001E-2</v>
      </c>
      <c r="AA26">
        <v>1.6191100999999999E-2</v>
      </c>
      <c r="AB26">
        <v>1.2332696000000001E-2</v>
      </c>
      <c r="AC26">
        <v>2.1360833999999999E-2</v>
      </c>
      <c r="AD26">
        <v>1.3448009E-2</v>
      </c>
      <c r="AE26">
        <v>1.281536E-2</v>
      </c>
      <c r="AF26">
        <v>1.2984974E-2</v>
      </c>
      <c r="AG26">
        <v>9.7984189999999992E-3</v>
      </c>
      <c r="AH26">
        <v>6.7143009999999998E-3</v>
      </c>
      <c r="AI26">
        <v>1.8579155999999999E-2</v>
      </c>
      <c r="AJ26">
        <v>1.4276027E-2</v>
      </c>
      <c r="AK26">
        <v>1.2831832E-2</v>
      </c>
      <c r="AL26">
        <v>1.2067761E-2</v>
      </c>
      <c r="AM26">
        <v>1.7866788000000002E-2</v>
      </c>
      <c r="AN26">
        <v>8.0650670000000004E-3</v>
      </c>
      <c r="AO26">
        <v>1.1798995E-2</v>
      </c>
      <c r="AP26">
        <v>1.734629E-2</v>
      </c>
      <c r="AQ26">
        <v>3.8025820000000002E-2</v>
      </c>
      <c r="AS26">
        <v>0.04</v>
      </c>
      <c r="AT26">
        <v>25</v>
      </c>
    </row>
    <row r="27" spans="1:56" x14ac:dyDescent="0.2">
      <c r="A27" t="s">
        <v>58</v>
      </c>
      <c r="C27">
        <f>SUM(C2:C26)</f>
        <v>2426.0100000000002</v>
      </c>
      <c r="D27">
        <f t="shared" ref="D27:G27" si="9">SUM(D2:D26)</f>
        <v>87705000</v>
      </c>
      <c r="E27" s="11">
        <f t="shared" si="9"/>
        <v>5.3882867844687157</v>
      </c>
      <c r="F27">
        <f t="shared" si="9"/>
        <v>591.57999999999993</v>
      </c>
      <c r="G27">
        <f t="shared" si="9"/>
        <v>2.9200000000000008</v>
      </c>
      <c r="H27" s="1">
        <f>SUM(H2:H26)</f>
        <v>1.0000000000000002</v>
      </c>
      <c r="I27" s="5">
        <f t="shared" si="1"/>
        <v>500000000.00000012</v>
      </c>
      <c r="J27" s="6">
        <f t="shared" ref="J27:O27" si="10">SUM(J2:J26)</f>
        <v>7775774.2122720545</v>
      </c>
      <c r="K27" s="8">
        <f t="shared" si="10"/>
        <v>3.8448678118465245</v>
      </c>
      <c r="L27" s="1">
        <f t="shared" si="10"/>
        <v>2.6436617389479617</v>
      </c>
      <c r="M27">
        <f t="shared" si="10"/>
        <v>729.71841865334591</v>
      </c>
      <c r="N27" s="5">
        <f t="shared" si="10"/>
        <v>3897253.3958875937</v>
      </c>
      <c r="O27" s="3">
        <f t="shared" si="10"/>
        <v>49972577.650677919</v>
      </c>
      <c r="P27" s="5">
        <f>SUM(P2:P26)</f>
        <v>46075324.254790321</v>
      </c>
    </row>
    <row r="28" spans="1:56" x14ac:dyDescent="0.2">
      <c r="O28" s="1">
        <f>O27/I27</f>
        <v>9.9945155301355809E-2</v>
      </c>
      <c r="P28" s="1">
        <f>P27/I27</f>
        <v>9.2150648509580615E-2</v>
      </c>
      <c r="T28" t="s">
        <v>25</v>
      </c>
      <c r="U28" t="s">
        <v>26</v>
      </c>
      <c r="V28" t="s">
        <v>27</v>
      </c>
      <c r="AF28">
        <v>1</v>
      </c>
      <c r="AG28">
        <v>2</v>
      </c>
      <c r="AH28">
        <v>3</v>
      </c>
      <c r="AI28">
        <v>4</v>
      </c>
      <c r="AJ28">
        <v>5</v>
      </c>
      <c r="AK28">
        <v>6</v>
      </c>
      <c r="AL28">
        <v>7</v>
      </c>
      <c r="AM28">
        <v>8</v>
      </c>
      <c r="AN28">
        <v>9</v>
      </c>
      <c r="AO28">
        <v>10</v>
      </c>
      <c r="AP28">
        <v>11</v>
      </c>
      <c r="AQ28">
        <v>12</v>
      </c>
      <c r="AR28">
        <v>13</v>
      </c>
      <c r="AS28">
        <v>14</v>
      </c>
      <c r="AT28">
        <v>15</v>
      </c>
      <c r="AU28">
        <v>16</v>
      </c>
      <c r="AV28">
        <v>17</v>
      </c>
      <c r="AW28">
        <v>18</v>
      </c>
      <c r="AX28">
        <v>19</v>
      </c>
      <c r="AY28">
        <v>20</v>
      </c>
      <c r="AZ28">
        <v>21</v>
      </c>
      <c r="BA28">
        <v>22</v>
      </c>
      <c r="BB28">
        <v>23</v>
      </c>
      <c r="BC28">
        <v>24</v>
      </c>
      <c r="BD28">
        <v>25</v>
      </c>
    </row>
    <row r="29" spans="1:56" x14ac:dyDescent="0.2">
      <c r="A29" t="s">
        <v>41</v>
      </c>
      <c r="B29" s="3">
        <v>500000000</v>
      </c>
      <c r="D29" t="s">
        <v>36</v>
      </c>
      <c r="E29" s="12">
        <v>706.28378945135796</v>
      </c>
      <c r="N29" t="s">
        <v>60</v>
      </c>
      <c r="O29" s="1">
        <f>P28-O28</f>
        <v>-7.7945067917751937E-3</v>
      </c>
      <c r="S29">
        <v>1</v>
      </c>
      <c r="T29" s="1">
        <v>5.0000000000000001E-3</v>
      </c>
      <c r="U29" s="1">
        <v>5.0000000000000001E-3</v>
      </c>
      <c r="V29" s="2">
        <v>0.25</v>
      </c>
      <c r="Y29" t="s">
        <v>28</v>
      </c>
      <c r="Z29" s="11">
        <f>AA29^2</f>
        <v>8.298893661809432E-5</v>
      </c>
      <c r="AA29" s="11">
        <f>MMULT(AF29:BD29,MMULT(S2:AQ26,T29:T53))</f>
        <v>9.1098263769456289E-3</v>
      </c>
      <c r="AC29">
        <v>0.14000000000000001</v>
      </c>
      <c r="AE29" t="s">
        <v>30</v>
      </c>
      <c r="AF29">
        <f>T29</f>
        <v>5.0000000000000001E-3</v>
      </c>
      <c r="AG29">
        <f>T30</f>
        <v>4.4092552361167485E-2</v>
      </c>
      <c r="AH29">
        <f>T31</f>
        <v>5.0000000000000001E-3</v>
      </c>
      <c r="AI29">
        <f>T32</f>
        <v>5.0000000000000001E-3</v>
      </c>
      <c r="AJ29">
        <f>T33</f>
        <v>5.0000000000000001E-3</v>
      </c>
      <c r="AK29">
        <f>T34</f>
        <v>0.11813869976784686</v>
      </c>
      <c r="AL29">
        <f>T35</f>
        <v>5.0000000000000001E-3</v>
      </c>
      <c r="AM29">
        <f>T36</f>
        <v>5.0000000000000001E-3</v>
      </c>
      <c r="AN29">
        <f>T37</f>
        <v>5.0000000000000001E-3</v>
      </c>
      <c r="AO29">
        <f>T38</f>
        <v>2.8146480341588401E-2</v>
      </c>
      <c r="AP29">
        <f>T39</f>
        <v>5.0000000000000001E-3</v>
      </c>
      <c r="AQ29">
        <f>T40</f>
        <v>4.3553069611118642E-2</v>
      </c>
      <c r="AR29">
        <f>T41</f>
        <v>3.3358860520693957E-2</v>
      </c>
      <c r="AS29">
        <f>T42</f>
        <v>1.5739079321381608E-2</v>
      </c>
      <c r="AT29">
        <f>T43</f>
        <v>0.13667746017952367</v>
      </c>
      <c r="AU29">
        <f>T44</f>
        <v>0.25</v>
      </c>
      <c r="AV29">
        <f>T45</f>
        <v>5.0000000000000001E-3</v>
      </c>
      <c r="AW29">
        <f>T46</f>
        <v>5.0000000000000001E-3</v>
      </c>
      <c r="AX29">
        <f>T47</f>
        <v>6.5547463962735933E-2</v>
      </c>
      <c r="AY29">
        <f>T48</f>
        <v>4.0653779091551434E-2</v>
      </c>
      <c r="AZ29">
        <f>T49</f>
        <v>5.0000000000000001E-3</v>
      </c>
      <c r="BA29">
        <f>T50</f>
        <v>0.12802399342390422</v>
      </c>
      <c r="BB29">
        <f>T51</f>
        <v>3.1056733351573752E-2</v>
      </c>
      <c r="BC29">
        <f>T52</f>
        <v>5.0000000000000001E-3</v>
      </c>
      <c r="BD29">
        <f>T53</f>
        <v>5.0118280669141299E-3</v>
      </c>
    </row>
    <row r="30" spans="1:56" x14ac:dyDescent="0.2">
      <c r="B30" s="1"/>
      <c r="D30" t="s">
        <v>37</v>
      </c>
      <c r="E30" s="12">
        <v>0.34305784856765498</v>
      </c>
      <c r="S30">
        <v>2</v>
      </c>
      <c r="T30" s="1">
        <v>4.4092552361167485E-2</v>
      </c>
      <c r="U30" s="1">
        <v>5.0000000000000001E-3</v>
      </c>
      <c r="V30" s="2">
        <v>0.25</v>
      </c>
      <c r="Y30" t="s">
        <v>31</v>
      </c>
      <c r="Z30" s="11">
        <f>SQRT(AA29)</f>
        <v>9.5445410455116328E-2</v>
      </c>
      <c r="AA30" s="11"/>
      <c r="AC30">
        <v>0.1</v>
      </c>
    </row>
    <row r="31" spans="1:56" x14ac:dyDescent="0.2">
      <c r="D31" t="s">
        <v>38</v>
      </c>
      <c r="E31" s="12">
        <v>0.56587621757055095</v>
      </c>
      <c r="S31">
        <v>3</v>
      </c>
      <c r="T31" s="1">
        <v>5.0000000000000001E-3</v>
      </c>
      <c r="U31" s="1">
        <v>5.0000000000000001E-3</v>
      </c>
      <c r="V31" s="2">
        <v>0.25</v>
      </c>
      <c r="Y31" t="s">
        <v>32</v>
      </c>
      <c r="Z31" s="11">
        <f>SUMPRODUCT(T29:T53,AC29:AC53)</f>
        <v>9.9945155301355851E-2</v>
      </c>
      <c r="AA31" s="11"/>
      <c r="AC31">
        <v>0.14000000000000001</v>
      </c>
    </row>
    <row r="32" spans="1:56" x14ac:dyDescent="0.2">
      <c r="B32" s="1"/>
      <c r="D32" t="s">
        <v>39</v>
      </c>
      <c r="E32" s="12">
        <v>0.75754853087902696</v>
      </c>
      <c r="S32">
        <v>4</v>
      </c>
      <c r="T32" s="1">
        <v>5.0000000000000001E-3</v>
      </c>
      <c r="U32" s="1">
        <v>5.0000000000000001E-3</v>
      </c>
      <c r="V32" s="2">
        <v>0.25</v>
      </c>
      <c r="Y32" t="s">
        <v>67</v>
      </c>
      <c r="Z32" s="11">
        <f>P28</f>
        <v>9.2150648509580615E-2</v>
      </c>
      <c r="AA32" s="11"/>
      <c r="AC32">
        <v>0.12</v>
      </c>
    </row>
    <row r="33" spans="4:29" x14ac:dyDescent="0.2">
      <c r="D33" t="s">
        <v>40</v>
      </c>
      <c r="E33" s="12">
        <v>0.97175923281984999</v>
      </c>
      <c r="S33">
        <v>5</v>
      </c>
      <c r="T33" s="1">
        <v>5.0000000000000001E-3</v>
      </c>
      <c r="U33" s="1">
        <v>5.0000000000000001E-3</v>
      </c>
      <c r="V33" s="2">
        <v>0.25</v>
      </c>
      <c r="Y33" t="s">
        <v>72</v>
      </c>
      <c r="Z33">
        <f>M27</f>
        <v>729.71841865334591</v>
      </c>
      <c r="AA33" s="11"/>
      <c r="AC33">
        <v>0.1</v>
      </c>
    </row>
    <row r="34" spans="4:29" x14ac:dyDescent="0.2">
      <c r="S34">
        <v>6</v>
      </c>
      <c r="T34" s="1">
        <v>0.11813869976784686</v>
      </c>
      <c r="U34" s="1">
        <v>5.0000000000000001E-3</v>
      </c>
      <c r="V34" s="2">
        <v>0.25</v>
      </c>
      <c r="Y34" t="s">
        <v>68</v>
      </c>
      <c r="Z34" s="11">
        <f>'A2'!Z30</f>
        <v>9.5444425573967331E-2</v>
      </c>
      <c r="AC34">
        <v>0.08</v>
      </c>
    </row>
    <row r="35" spans="4:29" x14ac:dyDescent="0.2">
      <c r="S35">
        <v>7</v>
      </c>
      <c r="T35" s="1">
        <v>5.0000000000000001E-3</v>
      </c>
      <c r="U35" s="1">
        <v>5.0000000000000001E-3</v>
      </c>
      <c r="V35" s="2">
        <v>0.25</v>
      </c>
      <c r="AC35">
        <v>0.09</v>
      </c>
    </row>
    <row r="36" spans="4:29" x14ac:dyDescent="0.2">
      <c r="S36">
        <v>8</v>
      </c>
      <c r="T36" s="1">
        <v>5.0000000000000001E-3</v>
      </c>
      <c r="U36" s="1">
        <v>5.0000000000000001E-3</v>
      </c>
      <c r="V36" s="2">
        <v>0.25</v>
      </c>
      <c r="AC36">
        <v>0.17</v>
      </c>
    </row>
    <row r="37" spans="4:29" x14ac:dyDescent="0.2">
      <c r="S37">
        <v>9</v>
      </c>
      <c r="T37" s="1">
        <v>5.0000000000000001E-3</v>
      </c>
      <c r="U37" s="1">
        <v>5.0000000000000001E-3</v>
      </c>
      <c r="V37" s="2">
        <v>0.25</v>
      </c>
      <c r="AC37">
        <v>0.14000000000000001</v>
      </c>
    </row>
    <row r="38" spans="4:29" x14ac:dyDescent="0.2">
      <c r="S38">
        <v>10</v>
      </c>
      <c r="T38" s="1">
        <v>2.8146480341588401E-2</v>
      </c>
      <c r="U38" s="1">
        <v>5.0000000000000001E-3</v>
      </c>
      <c r="V38" s="2">
        <v>0.25</v>
      </c>
      <c r="AC38">
        <v>0.12</v>
      </c>
    </row>
    <row r="39" spans="4:29" x14ac:dyDescent="0.2">
      <c r="S39">
        <v>11</v>
      </c>
      <c r="T39" s="1">
        <v>5.0000000000000001E-3</v>
      </c>
      <c r="U39" s="1">
        <v>5.0000000000000001E-3</v>
      </c>
      <c r="V39" s="2">
        <v>0.25</v>
      </c>
      <c r="AC39">
        <v>0.21</v>
      </c>
    </row>
    <row r="40" spans="4:29" x14ac:dyDescent="0.2">
      <c r="S40">
        <v>12</v>
      </c>
      <c r="T40" s="1">
        <v>4.3553069611118642E-2</v>
      </c>
      <c r="U40" s="1">
        <v>5.0000000000000001E-3</v>
      </c>
      <c r="V40" s="2">
        <v>0.25</v>
      </c>
      <c r="AC40">
        <v>0.15</v>
      </c>
    </row>
    <row r="41" spans="4:29" x14ac:dyDescent="0.2">
      <c r="S41">
        <v>13</v>
      </c>
      <c r="T41" s="1">
        <v>3.3358860520693957E-2</v>
      </c>
      <c r="U41" s="1">
        <v>5.0000000000000001E-3</v>
      </c>
      <c r="V41" s="2">
        <v>0.25</v>
      </c>
      <c r="AC41">
        <v>0.14000000000000001</v>
      </c>
    </row>
    <row r="42" spans="4:29" x14ac:dyDescent="0.2">
      <c r="S42">
        <v>14</v>
      </c>
      <c r="T42" s="1">
        <v>1.5739079321381608E-2</v>
      </c>
      <c r="U42" s="1">
        <v>5.0000000000000001E-3</v>
      </c>
      <c r="V42" s="2">
        <v>0.25</v>
      </c>
      <c r="AC42">
        <v>0.06</v>
      </c>
    </row>
    <row r="43" spans="4:29" x14ac:dyDescent="0.2">
      <c r="S43">
        <v>15</v>
      </c>
      <c r="T43" s="1">
        <v>0.13667746017952367</v>
      </c>
      <c r="U43" s="1">
        <v>5.0000000000000001E-3</v>
      </c>
      <c r="V43" s="2">
        <v>0.25</v>
      </c>
      <c r="AC43">
        <v>7.0000000000000007E-2</v>
      </c>
    </row>
    <row r="44" spans="4:29" x14ac:dyDescent="0.2">
      <c r="S44">
        <v>16</v>
      </c>
      <c r="T44" s="1">
        <v>0.25</v>
      </c>
      <c r="U44" s="1">
        <v>5.0000000000000001E-3</v>
      </c>
      <c r="V44" s="2">
        <v>0.25</v>
      </c>
      <c r="AC44">
        <v>0.1</v>
      </c>
    </row>
    <row r="45" spans="4:29" x14ac:dyDescent="0.2">
      <c r="S45">
        <v>17</v>
      </c>
      <c r="T45" s="1">
        <v>5.0000000000000001E-3</v>
      </c>
      <c r="U45" s="1">
        <v>5.0000000000000001E-3</v>
      </c>
      <c r="V45" s="2">
        <v>0.25</v>
      </c>
      <c r="AC45">
        <v>0.09</v>
      </c>
    </row>
    <row r="46" spans="4:29" x14ac:dyDescent="0.2">
      <c r="S46">
        <v>18</v>
      </c>
      <c r="T46" s="1">
        <v>5.0000000000000001E-3</v>
      </c>
      <c r="U46" s="1">
        <v>5.0000000000000001E-3</v>
      </c>
      <c r="V46" s="2">
        <v>0.25</v>
      </c>
      <c r="AC46">
        <v>0.08</v>
      </c>
    </row>
    <row r="47" spans="4:29" x14ac:dyDescent="0.2">
      <c r="S47">
        <v>19</v>
      </c>
      <c r="T47" s="1">
        <v>6.5547463962735933E-2</v>
      </c>
      <c r="U47" s="1">
        <v>5.0000000000000001E-3</v>
      </c>
      <c r="V47" s="2">
        <v>0.25</v>
      </c>
      <c r="AC47">
        <v>0.14000000000000001</v>
      </c>
    </row>
    <row r="48" spans="4:29" x14ac:dyDescent="0.2">
      <c r="S48">
        <v>20</v>
      </c>
      <c r="T48" s="1">
        <v>4.0653779091551434E-2</v>
      </c>
      <c r="U48" s="1">
        <v>5.0000000000000001E-3</v>
      </c>
      <c r="V48" s="2">
        <v>0.25</v>
      </c>
      <c r="AC48">
        <v>0.15</v>
      </c>
    </row>
    <row r="49" spans="19:29" x14ac:dyDescent="0.2">
      <c r="S49">
        <v>21</v>
      </c>
      <c r="T49" s="1">
        <v>5.0000000000000001E-3</v>
      </c>
      <c r="U49" s="1">
        <v>5.0000000000000001E-3</v>
      </c>
      <c r="V49" s="2">
        <v>0.25</v>
      </c>
      <c r="AC49">
        <v>0.1</v>
      </c>
    </row>
    <row r="50" spans="19:29" x14ac:dyDescent="0.2">
      <c r="S50">
        <v>22</v>
      </c>
      <c r="T50" s="1">
        <v>0.12802399342390422</v>
      </c>
      <c r="U50" s="1">
        <v>5.0000000000000001E-3</v>
      </c>
      <c r="V50" s="2">
        <v>0.25</v>
      </c>
      <c r="AC50">
        <v>0.08</v>
      </c>
    </row>
    <row r="51" spans="19:29" x14ac:dyDescent="0.2">
      <c r="S51">
        <v>23</v>
      </c>
      <c r="T51" s="1">
        <v>3.1056733351573752E-2</v>
      </c>
      <c r="U51" s="1">
        <v>5.0000000000000001E-3</v>
      </c>
      <c r="V51" s="2">
        <v>0.25</v>
      </c>
      <c r="AC51">
        <v>7.0000000000000007E-2</v>
      </c>
    </row>
    <row r="52" spans="19:29" x14ac:dyDescent="0.2">
      <c r="S52">
        <v>24</v>
      </c>
      <c r="T52" s="1">
        <v>5.0000000000000001E-3</v>
      </c>
      <c r="U52" s="1">
        <v>5.0000000000000001E-3</v>
      </c>
      <c r="V52" s="2">
        <v>0.25</v>
      </c>
      <c r="AC52">
        <v>0.14000000000000001</v>
      </c>
    </row>
    <row r="53" spans="19:29" x14ac:dyDescent="0.2">
      <c r="S53">
        <v>25</v>
      </c>
      <c r="T53" s="1">
        <v>5.0118280669141299E-3</v>
      </c>
      <c r="U53" s="1">
        <v>5.0000000000000001E-3</v>
      </c>
      <c r="V53" s="2">
        <v>0.25</v>
      </c>
      <c r="AC53">
        <v>0.14000000000000001</v>
      </c>
    </row>
    <row r="54" spans="19:29" x14ac:dyDescent="0.2">
      <c r="S54" t="s">
        <v>35</v>
      </c>
      <c r="T54">
        <f>SUM(T29:T53)</f>
        <v>1.0000000000000002</v>
      </c>
      <c r="U54">
        <v>1</v>
      </c>
    </row>
  </sheetData>
  <phoneticPr fontId="1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"/>
  <sheetViews>
    <sheetView workbookViewId="0">
      <selection activeCell="G13" sqref="G13"/>
    </sheetView>
  </sheetViews>
  <sheetFormatPr defaultRowHeight="14.25" x14ac:dyDescent="0.2"/>
  <cols>
    <col min="2" max="2" width="13" bestFit="1" customWidth="1"/>
    <col min="3" max="4" width="13.125" bestFit="1" customWidth="1"/>
    <col min="5" max="5" width="12.125" bestFit="1" customWidth="1"/>
    <col min="6" max="6" width="14.125" bestFit="1" customWidth="1"/>
  </cols>
  <sheetData>
    <row r="1" spans="1:6" x14ac:dyDescent="0.2">
      <c r="B1" t="s">
        <v>79</v>
      </c>
      <c r="C1" t="s">
        <v>31</v>
      </c>
      <c r="D1" t="s">
        <v>32</v>
      </c>
      <c r="E1" t="s">
        <v>65</v>
      </c>
      <c r="F1" t="s">
        <v>73</v>
      </c>
    </row>
    <row r="2" spans="1:6" x14ac:dyDescent="0.2">
      <c r="A2" t="s">
        <v>75</v>
      </c>
      <c r="B2" s="3">
        <v>100000000</v>
      </c>
      <c r="C2" s="13">
        <v>9.5444375164505518E-2</v>
      </c>
      <c r="D2" s="13">
        <v>9.9999999614636403E-2</v>
      </c>
      <c r="E2" s="13">
        <v>9.7980714590905918E-2</v>
      </c>
      <c r="F2">
        <v>183.24268990996796</v>
      </c>
    </row>
    <row r="3" spans="1:6" x14ac:dyDescent="0.2">
      <c r="A3" t="s">
        <v>76</v>
      </c>
      <c r="B3" s="3">
        <v>100000000</v>
      </c>
      <c r="C3" s="13">
        <v>9.5444470608942275E-2</v>
      </c>
      <c r="D3" s="13">
        <v>9.9993867615716117E-2</v>
      </c>
      <c r="E3" s="13">
        <v>9.7988350270516986E-2</v>
      </c>
      <c r="F3">
        <v>183.59820201269667</v>
      </c>
    </row>
    <row r="4" spans="1:6" x14ac:dyDescent="0.2">
      <c r="A4" t="s">
        <v>80</v>
      </c>
      <c r="B4" s="3">
        <f>B2-B3</f>
        <v>0</v>
      </c>
      <c r="C4" s="13">
        <f>C3-C2</f>
        <v>9.5444436756797479E-8</v>
      </c>
      <c r="D4" s="13">
        <f t="shared" ref="D4:E4" si="0">D3-D2</f>
        <v>-6.1319989202862635E-6</v>
      </c>
      <c r="E4" s="13">
        <f t="shared" si="0"/>
        <v>7.6356796110677028E-6</v>
      </c>
      <c r="F4">
        <f>F3-F2</f>
        <v>0.35551210272871003</v>
      </c>
    </row>
    <row r="6" spans="1:6" x14ac:dyDescent="0.2">
      <c r="B6" t="s">
        <v>79</v>
      </c>
      <c r="C6" t="s">
        <v>31</v>
      </c>
      <c r="D6" t="s">
        <v>32</v>
      </c>
      <c r="E6" t="s">
        <v>65</v>
      </c>
      <c r="F6" t="s">
        <v>73</v>
      </c>
    </row>
    <row r="7" spans="1:6" x14ac:dyDescent="0.2">
      <c r="A7" t="s">
        <v>77</v>
      </c>
      <c r="B7" s="3">
        <v>500000000</v>
      </c>
      <c r="C7" s="13">
        <v>9.5444425573967331E-2</v>
      </c>
      <c r="D7" s="13">
        <v>0.10000025635541163</v>
      </c>
      <c r="E7" s="13">
        <v>9.2072359641737392E-2</v>
      </c>
      <c r="F7">
        <v>723.96873809764634</v>
      </c>
    </row>
    <row r="8" spans="1:6" x14ac:dyDescent="0.2">
      <c r="A8" t="s">
        <v>78</v>
      </c>
      <c r="B8" s="3">
        <v>500000000</v>
      </c>
      <c r="C8" s="13">
        <v>9.5445420676998877E-2</v>
      </c>
      <c r="D8" s="13">
        <v>9.9943017827488531E-2</v>
      </c>
      <c r="E8" s="13">
        <v>9.2151568322162508E-2</v>
      </c>
      <c r="F8">
        <v>731.60463381816737</v>
      </c>
    </row>
    <row r="9" spans="1:6" x14ac:dyDescent="0.2">
      <c r="A9" t="s">
        <v>80</v>
      </c>
      <c r="B9" s="3">
        <f>B7-B8</f>
        <v>0</v>
      </c>
      <c r="C9" s="13">
        <f>C8-C7</f>
        <v>9.9510303154526358E-7</v>
      </c>
      <c r="D9" s="13">
        <f t="shared" ref="D9" si="1">D8-D7</f>
        <v>-5.723852792309525E-5</v>
      </c>
      <c r="E9" s="13">
        <f t="shared" ref="E9" si="2">E8-E7</f>
        <v>7.9208680425116307E-5</v>
      </c>
      <c r="F9">
        <f t="shared" ref="F9" si="3">F8-F7</f>
        <v>7.6358957205210345</v>
      </c>
    </row>
  </sheetData>
  <phoneticPr fontId="1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6"/>
  <sheetViews>
    <sheetView workbookViewId="0">
      <selection activeCell="H25" sqref="H25"/>
    </sheetView>
  </sheetViews>
  <sheetFormatPr defaultRowHeight="14.25" x14ac:dyDescent="0.2"/>
  <sheetData>
    <row r="1" spans="1:11" x14ac:dyDescent="0.2">
      <c r="C1" t="s">
        <v>61</v>
      </c>
      <c r="D1" t="s">
        <v>62</v>
      </c>
      <c r="H1" t="s">
        <v>61</v>
      </c>
      <c r="I1" t="s">
        <v>62</v>
      </c>
    </row>
    <row r="2" spans="1:11" x14ac:dyDescent="0.2">
      <c r="A2">
        <v>0</v>
      </c>
      <c r="B2" t="s">
        <v>0</v>
      </c>
      <c r="C2">
        <v>1.6200000000000001E-4</v>
      </c>
      <c r="D2">
        <v>1.2744999999999999E-2</v>
      </c>
      <c r="F2">
        <v>0</v>
      </c>
      <c r="G2" t="s">
        <v>0</v>
      </c>
      <c r="H2">
        <f>C2*250</f>
        <v>4.0500000000000001E-2</v>
      </c>
      <c r="I2">
        <f>SQRT(H2)</f>
        <v>0.20124611797498107</v>
      </c>
      <c r="K2">
        <v>0.20124611797498107</v>
      </c>
    </row>
    <row r="3" spans="1:11" x14ac:dyDescent="0.2">
      <c r="A3">
        <v>1</v>
      </c>
      <c r="B3" t="s">
        <v>1</v>
      </c>
      <c r="C3">
        <v>1.7100000000000001E-4</v>
      </c>
      <c r="D3">
        <v>1.3070999999999999E-2</v>
      </c>
      <c r="F3">
        <v>1</v>
      </c>
      <c r="G3" t="s">
        <v>1</v>
      </c>
      <c r="H3">
        <f t="shared" ref="H3:H17" si="0">C3*250</f>
        <v>4.2750000000000003E-2</v>
      </c>
      <c r="I3">
        <f t="shared" ref="I3:I26" si="1">SQRT(H3)</f>
        <v>0.20676073128135333</v>
      </c>
      <c r="K3">
        <v>0.20676073128135333</v>
      </c>
    </row>
    <row r="4" spans="1:11" x14ac:dyDescent="0.2">
      <c r="A4">
        <v>2</v>
      </c>
      <c r="B4" t="s">
        <v>2</v>
      </c>
      <c r="C4">
        <v>1.7699999999999999E-4</v>
      </c>
      <c r="D4">
        <v>1.3289E-2</v>
      </c>
      <c r="F4">
        <v>2</v>
      </c>
      <c r="G4" t="s">
        <v>2</v>
      </c>
      <c r="H4">
        <f t="shared" si="0"/>
        <v>4.4249999999999998E-2</v>
      </c>
      <c r="I4">
        <f t="shared" si="1"/>
        <v>0.21035683967962629</v>
      </c>
      <c r="K4">
        <v>0.21035683967962629</v>
      </c>
    </row>
    <row r="5" spans="1:11" x14ac:dyDescent="0.2">
      <c r="A5">
        <v>3</v>
      </c>
      <c r="B5" t="s">
        <v>3</v>
      </c>
      <c r="C5">
        <v>1.9599999999999999E-4</v>
      </c>
      <c r="D5">
        <v>1.3988E-2</v>
      </c>
      <c r="F5">
        <v>3</v>
      </c>
      <c r="G5" t="s">
        <v>3</v>
      </c>
      <c r="H5">
        <f t="shared" si="0"/>
        <v>4.9000000000000002E-2</v>
      </c>
      <c r="I5">
        <f t="shared" si="1"/>
        <v>0.22135943621178655</v>
      </c>
      <c r="K5">
        <v>0.22135943621178655</v>
      </c>
    </row>
    <row r="6" spans="1:11" x14ac:dyDescent="0.2">
      <c r="A6">
        <v>4</v>
      </c>
      <c r="B6" t="s">
        <v>4</v>
      </c>
      <c r="C6">
        <v>1.66E-4</v>
      </c>
      <c r="D6">
        <v>1.2878000000000001E-2</v>
      </c>
      <c r="F6">
        <v>4</v>
      </c>
      <c r="G6" t="s">
        <v>4</v>
      </c>
      <c r="H6">
        <f t="shared" si="0"/>
        <v>4.1500000000000002E-2</v>
      </c>
      <c r="I6">
        <f t="shared" si="1"/>
        <v>0.20371548787463364</v>
      </c>
      <c r="K6">
        <v>0.20371548787463364</v>
      </c>
    </row>
    <row r="7" spans="1:11" x14ac:dyDescent="0.2">
      <c r="A7">
        <v>5</v>
      </c>
      <c r="B7" t="s">
        <v>5</v>
      </c>
      <c r="C7">
        <v>1.1400000000000001E-4</v>
      </c>
      <c r="D7">
        <v>1.0685E-2</v>
      </c>
      <c r="F7">
        <v>5</v>
      </c>
      <c r="G7" t="s">
        <v>5</v>
      </c>
      <c r="H7">
        <f t="shared" si="0"/>
        <v>2.8500000000000001E-2</v>
      </c>
      <c r="I7">
        <f t="shared" si="1"/>
        <v>0.16881943016134132</v>
      </c>
      <c r="K7">
        <v>0.16881943016134132</v>
      </c>
    </row>
    <row r="8" spans="1:11" x14ac:dyDescent="0.2">
      <c r="A8">
        <v>6</v>
      </c>
      <c r="B8" t="s">
        <v>6</v>
      </c>
      <c r="C8">
        <v>2.0000000000000001E-4</v>
      </c>
      <c r="D8">
        <v>1.4152E-2</v>
      </c>
      <c r="F8">
        <v>6</v>
      </c>
      <c r="G8" t="s">
        <v>6</v>
      </c>
      <c r="H8">
        <f t="shared" si="0"/>
        <v>0.05</v>
      </c>
      <c r="I8">
        <f t="shared" si="1"/>
        <v>0.22360679774997896</v>
      </c>
      <c r="K8">
        <v>0.22360679774997896</v>
      </c>
    </row>
    <row r="9" spans="1:11" x14ac:dyDescent="0.2">
      <c r="A9">
        <v>7</v>
      </c>
      <c r="B9" t="s">
        <v>7</v>
      </c>
      <c r="C9">
        <v>3.1799999999999998E-4</v>
      </c>
      <c r="D9">
        <v>1.7842E-2</v>
      </c>
      <c r="F9">
        <v>7</v>
      </c>
      <c r="G9" t="s">
        <v>7</v>
      </c>
      <c r="H9">
        <f t="shared" si="0"/>
        <v>7.9500000000000001E-2</v>
      </c>
      <c r="I9">
        <f t="shared" si="1"/>
        <v>0.28195744359743369</v>
      </c>
      <c r="K9">
        <v>0.28195744359743369</v>
      </c>
    </row>
    <row r="10" spans="1:11" x14ac:dyDescent="0.2">
      <c r="A10">
        <v>8</v>
      </c>
      <c r="B10" t="s">
        <v>8</v>
      </c>
      <c r="C10">
        <v>1.8900000000000001E-4</v>
      </c>
      <c r="D10">
        <v>1.3746E-2</v>
      </c>
      <c r="F10">
        <v>8</v>
      </c>
      <c r="G10" t="s">
        <v>8</v>
      </c>
      <c r="H10">
        <f t="shared" si="0"/>
        <v>4.725E-2</v>
      </c>
      <c r="I10">
        <f t="shared" si="1"/>
        <v>0.21737065119284157</v>
      </c>
      <c r="K10">
        <v>0.21737065119284157</v>
      </c>
    </row>
    <row r="11" spans="1:11" x14ac:dyDescent="0.2">
      <c r="A11">
        <v>9</v>
      </c>
      <c r="B11" t="s">
        <v>9</v>
      </c>
      <c r="C11">
        <v>2.41E-4</v>
      </c>
      <c r="D11">
        <v>1.5524E-2</v>
      </c>
      <c r="F11">
        <v>9</v>
      </c>
      <c r="G11" t="s">
        <v>9</v>
      </c>
      <c r="H11">
        <f t="shared" si="0"/>
        <v>6.0249999999999998E-2</v>
      </c>
      <c r="I11">
        <f t="shared" si="1"/>
        <v>0.24545875417267154</v>
      </c>
      <c r="K11">
        <v>0.24545875417267154</v>
      </c>
    </row>
    <row r="12" spans="1:11" x14ac:dyDescent="0.2">
      <c r="A12">
        <v>10</v>
      </c>
      <c r="B12" t="s">
        <v>10</v>
      </c>
      <c r="C12">
        <v>6.6100000000000002E-4</v>
      </c>
      <c r="D12">
        <v>2.5717E-2</v>
      </c>
      <c r="F12">
        <v>10</v>
      </c>
      <c r="G12" t="s">
        <v>10</v>
      </c>
      <c r="H12">
        <f t="shared" si="0"/>
        <v>0.16525000000000001</v>
      </c>
      <c r="I12">
        <f t="shared" si="1"/>
        <v>0.40650953248355692</v>
      </c>
      <c r="K12">
        <v>0.40650953248355692</v>
      </c>
    </row>
    <row r="13" spans="1:11" x14ac:dyDescent="0.2">
      <c r="A13">
        <v>11</v>
      </c>
      <c r="B13" t="s">
        <v>11</v>
      </c>
      <c r="C13">
        <v>1.84E-4</v>
      </c>
      <c r="D13">
        <v>1.358E-2</v>
      </c>
      <c r="F13">
        <v>11</v>
      </c>
      <c r="G13" t="s">
        <v>11</v>
      </c>
      <c r="H13">
        <f t="shared" si="0"/>
        <v>4.5999999999999999E-2</v>
      </c>
      <c r="I13">
        <f t="shared" si="1"/>
        <v>0.21447610589527216</v>
      </c>
      <c r="K13">
        <v>0.21447610589527216</v>
      </c>
    </row>
    <row r="14" spans="1:11" x14ac:dyDescent="0.2">
      <c r="A14">
        <v>12</v>
      </c>
      <c r="B14" t="s">
        <v>12</v>
      </c>
      <c r="C14">
        <v>2.2699999999999999E-4</v>
      </c>
      <c r="D14">
        <v>1.5062000000000001E-2</v>
      </c>
      <c r="F14">
        <v>12</v>
      </c>
      <c r="G14" t="s">
        <v>12</v>
      </c>
      <c r="H14">
        <f t="shared" si="0"/>
        <v>5.6749999999999995E-2</v>
      </c>
      <c r="I14">
        <f t="shared" si="1"/>
        <v>0.2382225849914319</v>
      </c>
      <c r="K14">
        <v>0.2382225849914319</v>
      </c>
    </row>
    <row r="15" spans="1:11" x14ac:dyDescent="0.2">
      <c r="A15">
        <v>13</v>
      </c>
      <c r="B15" t="s">
        <v>13</v>
      </c>
      <c r="C15">
        <v>8.0000000000000007E-5</v>
      </c>
      <c r="D15">
        <v>8.9230000000000004E-3</v>
      </c>
      <c r="F15">
        <v>13</v>
      </c>
      <c r="G15" t="s">
        <v>13</v>
      </c>
      <c r="H15">
        <f t="shared" si="0"/>
        <v>0.02</v>
      </c>
      <c r="I15">
        <f t="shared" si="1"/>
        <v>0.1414213562373095</v>
      </c>
      <c r="K15">
        <v>0.1414213562373095</v>
      </c>
    </row>
    <row r="16" spans="1:11" x14ac:dyDescent="0.2">
      <c r="A16">
        <v>14</v>
      </c>
      <c r="B16" t="s">
        <v>14</v>
      </c>
      <c r="C16">
        <v>7.7000000000000001E-5</v>
      </c>
      <c r="D16">
        <v>8.7950000000000007E-3</v>
      </c>
      <c r="F16">
        <v>14</v>
      </c>
      <c r="G16" t="s">
        <v>14</v>
      </c>
      <c r="H16">
        <f t="shared" si="0"/>
        <v>1.925E-2</v>
      </c>
      <c r="I16">
        <f t="shared" si="1"/>
        <v>0.13874436925511607</v>
      </c>
      <c r="K16">
        <v>0.13874436925511607</v>
      </c>
    </row>
    <row r="17" spans="1:11" x14ac:dyDescent="0.2">
      <c r="A17">
        <v>15</v>
      </c>
      <c r="B17" t="s">
        <v>15</v>
      </c>
      <c r="C17">
        <v>7.7999999999999999E-5</v>
      </c>
      <c r="D17">
        <v>8.8310000000000003E-3</v>
      </c>
      <c r="F17">
        <v>15</v>
      </c>
      <c r="G17" t="s">
        <v>15</v>
      </c>
      <c r="H17">
        <f t="shared" si="0"/>
        <v>1.95E-2</v>
      </c>
      <c r="I17">
        <f t="shared" si="1"/>
        <v>0.13964240043768941</v>
      </c>
      <c r="K17">
        <v>0.13964240043768941</v>
      </c>
    </row>
    <row r="18" spans="1:11" x14ac:dyDescent="0.2">
      <c r="A18">
        <v>16</v>
      </c>
      <c r="B18" t="s">
        <v>16</v>
      </c>
      <c r="C18">
        <v>1.85E-4</v>
      </c>
      <c r="D18">
        <v>1.3613E-2</v>
      </c>
      <c r="F18">
        <v>16</v>
      </c>
      <c r="G18" t="s">
        <v>16</v>
      </c>
      <c r="H18">
        <f t="shared" ref="H18:H26" si="2">C18*250</f>
        <v>4.6249999999999999E-2</v>
      </c>
      <c r="I18">
        <f t="shared" si="1"/>
        <v>0.21505813167606566</v>
      </c>
      <c r="K18">
        <v>0.21505813167606566</v>
      </c>
    </row>
    <row r="19" spans="1:11" x14ac:dyDescent="0.2">
      <c r="A19">
        <v>17</v>
      </c>
      <c r="B19" t="s">
        <v>17</v>
      </c>
      <c r="C19">
        <v>1.34E-4</v>
      </c>
      <c r="D19">
        <v>1.1558000000000001E-2</v>
      </c>
      <c r="F19">
        <v>17</v>
      </c>
      <c r="G19" t="s">
        <v>17</v>
      </c>
      <c r="H19">
        <f t="shared" si="2"/>
        <v>3.3500000000000002E-2</v>
      </c>
      <c r="I19">
        <f t="shared" si="1"/>
        <v>0.18303005217723128</v>
      </c>
      <c r="K19">
        <v>0.18303005217723128</v>
      </c>
    </row>
    <row r="20" spans="1:11" x14ac:dyDescent="0.2">
      <c r="A20">
        <v>18</v>
      </c>
      <c r="B20" t="s">
        <v>18</v>
      </c>
      <c r="C20">
        <v>1.3899999999999999E-4</v>
      </c>
      <c r="D20">
        <v>1.1797999999999999E-2</v>
      </c>
      <c r="F20">
        <v>18</v>
      </c>
      <c r="G20" t="s">
        <v>18</v>
      </c>
      <c r="H20">
        <f t="shared" si="2"/>
        <v>3.4749999999999996E-2</v>
      </c>
      <c r="I20">
        <f t="shared" si="1"/>
        <v>0.18641351882307247</v>
      </c>
      <c r="K20">
        <v>0.18641351882307247</v>
      </c>
    </row>
    <row r="21" spans="1:11" x14ac:dyDescent="0.2">
      <c r="A21">
        <v>19</v>
      </c>
      <c r="B21" t="s">
        <v>19</v>
      </c>
      <c r="C21">
        <v>2.9100000000000003E-4</v>
      </c>
      <c r="D21">
        <v>1.7058E-2</v>
      </c>
      <c r="F21">
        <v>19</v>
      </c>
      <c r="G21" t="s">
        <v>19</v>
      </c>
      <c r="H21">
        <f t="shared" si="2"/>
        <v>7.2750000000000009E-2</v>
      </c>
      <c r="I21">
        <f t="shared" si="1"/>
        <v>0.26972207918522356</v>
      </c>
      <c r="K21">
        <v>0.26972207918522356</v>
      </c>
    </row>
    <row r="22" spans="1:11" x14ac:dyDescent="0.2">
      <c r="A22">
        <v>20</v>
      </c>
      <c r="B22" t="s">
        <v>20</v>
      </c>
      <c r="C22">
        <v>1.7000000000000001E-4</v>
      </c>
      <c r="D22">
        <v>1.3025999999999999E-2</v>
      </c>
      <c r="F22">
        <v>20</v>
      </c>
      <c r="G22" t="s">
        <v>20</v>
      </c>
      <c r="H22">
        <f t="shared" si="2"/>
        <v>4.2500000000000003E-2</v>
      </c>
      <c r="I22">
        <f t="shared" si="1"/>
        <v>0.20615528128088303</v>
      </c>
      <c r="K22">
        <v>0.20615528128088303</v>
      </c>
    </row>
    <row r="23" spans="1:11" x14ac:dyDescent="0.2">
      <c r="A23">
        <v>21</v>
      </c>
      <c r="B23" t="s">
        <v>21</v>
      </c>
      <c r="C23">
        <v>1.11E-4</v>
      </c>
      <c r="D23">
        <v>1.0534999999999999E-2</v>
      </c>
      <c r="F23">
        <v>21</v>
      </c>
      <c r="G23" t="s">
        <v>21</v>
      </c>
      <c r="H23">
        <f t="shared" si="2"/>
        <v>2.775E-2</v>
      </c>
      <c r="I23">
        <f t="shared" si="1"/>
        <v>0.16658331248957681</v>
      </c>
      <c r="K23">
        <v>0.16658331248957681</v>
      </c>
    </row>
    <row r="24" spans="1:11" x14ac:dyDescent="0.2">
      <c r="A24">
        <v>22</v>
      </c>
      <c r="B24" t="s">
        <v>22</v>
      </c>
      <c r="C24">
        <v>1.35E-4</v>
      </c>
      <c r="D24">
        <v>1.1617000000000001E-2</v>
      </c>
      <c r="F24">
        <v>22</v>
      </c>
      <c r="G24" t="s">
        <v>22</v>
      </c>
      <c r="H24">
        <f t="shared" si="2"/>
        <v>3.3750000000000002E-2</v>
      </c>
      <c r="I24">
        <f t="shared" si="1"/>
        <v>0.18371173070873836</v>
      </c>
      <c r="K24">
        <v>0.18371173070873836</v>
      </c>
    </row>
    <row r="25" spans="1:11" x14ac:dyDescent="0.2">
      <c r="A25">
        <v>23</v>
      </c>
      <c r="B25" t="s">
        <v>23</v>
      </c>
      <c r="C25">
        <v>4.1899999999999999E-4</v>
      </c>
      <c r="D25">
        <v>2.0468E-2</v>
      </c>
      <c r="F25">
        <v>23</v>
      </c>
      <c r="G25" t="s">
        <v>23</v>
      </c>
      <c r="H25">
        <f t="shared" si="2"/>
        <v>0.10475</v>
      </c>
      <c r="I25">
        <f t="shared" si="1"/>
        <v>0.32365104665364514</v>
      </c>
      <c r="K25">
        <v>0.32365104665364514</v>
      </c>
    </row>
    <row r="26" spans="1:11" x14ac:dyDescent="0.2">
      <c r="A26">
        <v>24</v>
      </c>
      <c r="B26" t="s">
        <v>24</v>
      </c>
      <c r="C26">
        <v>1.5100000000000001E-4</v>
      </c>
      <c r="D26">
        <v>1.2298999999999999E-2</v>
      </c>
      <c r="F26">
        <v>24</v>
      </c>
      <c r="G26" t="s">
        <v>24</v>
      </c>
      <c r="H26">
        <f t="shared" si="2"/>
        <v>3.7750000000000006E-2</v>
      </c>
      <c r="I26">
        <f t="shared" si="1"/>
        <v>0.19429359227725448</v>
      </c>
      <c r="K26">
        <v>0.19429359227725448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</vt:lpstr>
      <vt:lpstr>MI</vt:lpstr>
      <vt:lpstr>A1</vt:lpstr>
      <vt:lpstr>A2</vt:lpstr>
      <vt:lpstr>B1</vt:lpstr>
      <vt:lpstr>B2</vt:lpstr>
      <vt:lpstr>result</vt:lpstr>
      <vt:lpstr>volatility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tuo wang</cp:lastModifiedBy>
  <dcterms:created xsi:type="dcterms:W3CDTF">2017-04-22T02:05:33Z</dcterms:created>
  <dcterms:modified xsi:type="dcterms:W3CDTF">2017-04-26T21:09:19Z</dcterms:modified>
</cp:coreProperties>
</file>